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b2f5254b8d43940/Documents/"/>
    </mc:Choice>
  </mc:AlternateContent>
  <xr:revisionPtr revIDLastSave="1008" documentId="8_{1365AFC0-080E-4C05-BA79-5DBCD660B8D8}" xr6:coauthVersionLast="47" xr6:coauthVersionMax="47" xr10:uidLastSave="{0134B2F6-8DB3-4614-A56C-30683EF32564}"/>
  <bookViews>
    <workbookView xWindow="-108" yWindow="-108" windowWidth="23256" windowHeight="13896" firstSheet="4" activeTab="4" xr2:uid="{6E7BAD08-90A0-404E-84A4-ADA4C701B612}"/>
  </bookViews>
  <sheets>
    <sheet name="raw_data" sheetId="1" r:id="rId1"/>
    <sheet name="data_understanding" sheetId="2" r:id="rId2"/>
    <sheet name="cleaned_data" sheetId="3" r:id="rId3"/>
    <sheet name="analysis" sheetId="4" r:id="rId4"/>
    <sheet name="dashboard" sheetId="5" r:id="rId5"/>
  </sheets>
  <definedNames>
    <definedName name="_xlnm.Print_Area" localSheetId="4">dashboard!$A$1:$U$95</definedName>
    <definedName name="Slicer_Age_Group">#N/A</definedName>
    <definedName name="Slicer_Department">#N/A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B34" i="2"/>
  <c r="B30" i="2"/>
  <c r="B29" i="2"/>
  <c r="B28" i="2"/>
  <c r="B4" i="2"/>
  <c r="B24" i="2"/>
  <c r="B23" i="2"/>
  <c r="B20" i="2"/>
  <c r="B19" i="2"/>
  <c r="B18" i="2"/>
  <c r="B17" i="2"/>
  <c r="B16" i="2"/>
  <c r="B3" i="2"/>
  <c r="B2" i="2"/>
  <c r="B11" i="2"/>
  <c r="B10" i="2"/>
  <c r="B9" i="2"/>
  <c r="B8" i="2"/>
  <c r="B7" i="2"/>
  <c r="B5" i="2" l="1"/>
</calcChain>
</file>

<file path=xl/sharedStrings.xml><?xml version="1.0" encoding="utf-8"?>
<sst xmlns="http://schemas.openxmlformats.org/spreadsheetml/2006/main" count="26604" uniqueCount="103">
  <si>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</si>
  <si>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</si>
  <si>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</si>
  <si>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</si>
  <si>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</si>
  <si>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</si>
  <si>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</si>
  <si>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</si>
  <si>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</si>
  <si>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</si>
  <si>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</si>
  <si>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</si>
  <si>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</si>
  <si>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</si>
  <si>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</si>
  <si>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</si>
  <si>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</si>
  <si>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</si>
  <si>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</si>
  <si>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</si>
  <si>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</si>
  <si>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</si>
  <si>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</si>
  <si>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</si>
  <si>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</si>
  <si>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</si>
  <si>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</si>
  <si>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</si>
  <si>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</si>
  <si>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</si>
  <si>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</si>
  <si>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</si>
  <si>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</si>
  <si>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</si>
  <si>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</si>
  <si>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</si>
  <si>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</si>
  <si>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</si>
  <si>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</si>
  <si>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</si>
  <si>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</si>
  <si>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</si>
  <si>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</si>
  <si>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</si>
  <si>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</si>
  <si>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</si>
  <si>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</si>
  <si>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</si>
  <si>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</si>
  <si>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</si>
  <si>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</si>
  <si>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</si>
  <si>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</si>
  <si>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</si>
  <si>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</si>
  <si>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</si>
  <si>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</si>
  <si>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</si>
  <si>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</si>
  <si>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</si>
  <si>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</si>
  <si>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</si>
  <si>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Metric</t>
  </si>
  <si>
    <t>Value</t>
  </si>
  <si>
    <t>No of rows</t>
  </si>
  <si>
    <t>No of Columns</t>
  </si>
  <si>
    <t>Missing values</t>
  </si>
  <si>
    <t>No of Departments</t>
  </si>
  <si>
    <t>No of Job roles</t>
  </si>
  <si>
    <t>Attrition Count</t>
  </si>
  <si>
    <t>Average Salary</t>
  </si>
  <si>
    <t>Average Age</t>
  </si>
  <si>
    <t>Note this is monthly salary's average</t>
  </si>
  <si>
    <t>column</t>
  </si>
  <si>
    <t>missing values</t>
  </si>
  <si>
    <t>Duplicate records</t>
  </si>
  <si>
    <t>actual emp number</t>
  </si>
  <si>
    <t>checking for duplicates</t>
  </si>
  <si>
    <t>No of Employees</t>
  </si>
  <si>
    <t>Attrition Rate</t>
  </si>
  <si>
    <t>Active Employees</t>
  </si>
  <si>
    <t>Attrition by</t>
  </si>
  <si>
    <t>Age group</t>
  </si>
  <si>
    <t>Income Group</t>
  </si>
  <si>
    <t>Overtime</t>
  </si>
  <si>
    <t>sales</t>
  </si>
  <si>
    <t>HR</t>
  </si>
  <si>
    <t>Job Role</t>
  </si>
  <si>
    <t>Attrition Flag</t>
  </si>
  <si>
    <t>Row Labels</t>
  </si>
  <si>
    <t>Grand Total</t>
  </si>
  <si>
    <t>Age Group</t>
  </si>
  <si>
    <t>High Income</t>
  </si>
  <si>
    <t>Low Income</t>
  </si>
  <si>
    <t>Medium Income</t>
  </si>
  <si>
    <t>Experienced</t>
  </si>
  <si>
    <t>Mid Career</t>
  </si>
  <si>
    <t>Senior</t>
  </si>
  <si>
    <t>Young</t>
  </si>
  <si>
    <t>Sum of Attrition Flag</t>
  </si>
  <si>
    <t>Employee Attrition Analysis</t>
  </si>
  <si>
    <t>HR ANALYTICS DASHBOARD</t>
  </si>
  <si>
    <r>
      <rPr>
        <sz val="11"/>
        <color theme="0"/>
        <rFont val="Calibri"/>
        <family val="2"/>
        <scheme val="minor"/>
      </rPr>
      <t>Data Source: IBM HR Analytics Dataset</t>
    </r>
    <r>
      <rPr>
        <sz val="11"/>
        <color theme="1"/>
        <rFont val="Calibri"/>
        <family val="2"/>
        <scheme val="minor"/>
      </rPr>
      <t xml:space="preserve">
</t>
    </r>
    <r>
      <rPr>
        <sz val="11"/>
        <color theme="0"/>
        <rFont val="Calibri"/>
        <family val="2"/>
        <scheme val="minor"/>
      </rPr>
      <t>Built using Microsoft Excel (Pivot Tables, Pivot Charts &amp; Slicers)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</si>
</sst>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
      <b/>
      <sz val="15"/>
      <color theme="0"/>
      <name val="Calibri"/>
      <family val="2"/>
      <scheme val="minor"/>
    </font>
    <font>
      <sz val="15"/>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00206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10" fontId="0" fillId="0" borderId="0" xfId="0" applyNumberFormat="1"/>
    <xf numFmtId="0" fontId="18" fillId="34" borderId="0" xfId="0" applyFont="1" applyFill="1" applyAlignment="1">
      <alignment horizontal="center" vertical="center"/>
    </xf>
    <xf numFmtId="0" fontId="17" fillId="34" borderId="0" xfId="0" applyFont="1" applyFill="1" applyAlignment="1">
      <alignment horizontal="center" vertical="center"/>
    </xf>
    <xf numFmtId="0" fontId="0" fillId="0" borderId="0" xfId="0" applyNumberFormat="1"/>
    <xf numFmtId="0" fontId="19" fillId="34" borderId="0" xfId="0" applyFont="1" applyFill="1" applyAlignment="1">
      <alignment horizontal="center" vertical="center"/>
    </xf>
    <xf numFmtId="0" fontId="20" fillId="34" borderId="0" xfId="0" applyFont="1" applyFill="1" applyAlignment="1">
      <alignment horizontal="center" vertical="center"/>
    </xf>
    <xf numFmtId="0" fontId="0" fillId="34" borderId="0" xfId="0" applyFill="1" applyAlignment="1">
      <alignment horizontal="center"/>
    </xf>
    <xf numFmtId="0" fontId="0" fillId="34" borderId="0" xfId="0"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colors>
    <mruColors>
      <color rgb="FFEAF2FF"/>
      <color rgb="FFF5F5F5"/>
      <color rgb="FF00B800"/>
      <color rgb="FFB80000"/>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Attrition</a:t>
            </a:r>
            <a:r>
              <a:rPr lang="en-US" sz="1600" b="1" baseline="0">
                <a:solidFill>
                  <a:schemeClr val="tx1">
                    <a:lumMod val="95000"/>
                    <a:lumOff val="5000"/>
                  </a:schemeClr>
                </a:solidFill>
              </a:rPr>
              <a:t> by Department</a:t>
            </a:r>
            <a:endParaRPr lang="en-US" sz="1600" b="1">
              <a:solidFill>
                <a:schemeClr val="tx1">
                  <a:lumMod val="95000"/>
                  <a:lumOff val="5000"/>
                </a:schemeClr>
              </a:solidFill>
            </a:endParaRPr>
          </a:p>
        </c:rich>
      </c:tx>
      <c:layout>
        <c:manualLayout>
          <c:xMode val="edge"/>
          <c:yMode val="edge"/>
          <c:x val="0.28363049070100743"/>
          <c:y val="3.8188661342082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analysis!$B$4:$B$7</c:f>
              <c:strCache>
                <c:ptCount val="3"/>
                <c:pt idx="0">
                  <c:v>Research &amp; Development</c:v>
                </c:pt>
                <c:pt idx="1">
                  <c:v>Sales</c:v>
                </c:pt>
                <c:pt idx="2">
                  <c:v>Human Resources</c:v>
                </c:pt>
              </c:strCache>
            </c:strRef>
          </c:cat>
          <c:val>
            <c:numRef>
              <c:f>analysis!$C$4:$C$7</c:f>
              <c:numCache>
                <c:formatCode>General</c:formatCode>
                <c:ptCount val="3"/>
                <c:pt idx="0">
                  <c:v>133</c:v>
                </c:pt>
                <c:pt idx="1">
                  <c:v>92</c:v>
                </c:pt>
                <c:pt idx="2">
                  <c:v>12</c:v>
                </c:pt>
              </c:numCache>
            </c:numRef>
          </c:val>
          <c:extLst>
            <c:ext xmlns:c16="http://schemas.microsoft.com/office/drawing/2014/chart" uri="{C3380CC4-5D6E-409C-BE32-E72D297353CC}">
              <c16:uniqueId val="{00000000-246B-4EE2-8256-990A8DE97E38}"/>
            </c:ext>
          </c:extLst>
        </c:ser>
        <c:dLbls>
          <c:dLblPos val="outEnd"/>
          <c:showLegendKey val="0"/>
          <c:showVal val="1"/>
          <c:showCatName val="0"/>
          <c:showSerName val="0"/>
          <c:showPercent val="0"/>
          <c:showBubbleSize val="0"/>
        </c:dLbls>
        <c:gapWidth val="219"/>
        <c:overlap val="-27"/>
        <c:axId val="1813688767"/>
        <c:axId val="1813675327"/>
      </c:barChart>
      <c:catAx>
        <c:axId val="181368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675327"/>
        <c:crosses val="autoZero"/>
        <c:auto val="1"/>
        <c:lblAlgn val="ctr"/>
        <c:lblOffset val="100"/>
        <c:noMultiLvlLbl val="0"/>
      </c:catAx>
      <c:valAx>
        <c:axId val="181367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68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Attrition by Job Role</a:t>
            </a:r>
          </a:p>
        </c:rich>
      </c:tx>
      <c:layout>
        <c:manualLayout>
          <c:xMode val="edge"/>
          <c:yMode val="edge"/>
          <c:x val="0.31298913291892588"/>
          <c:y val="4.25683104067787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analysis!$C$12</c:f>
              <c:strCache>
                <c:ptCount val="1"/>
                <c:pt idx="0">
                  <c:v>Total</c:v>
                </c:pt>
              </c:strCache>
            </c:strRef>
          </c:tx>
          <c:spPr>
            <a:solidFill>
              <a:schemeClr val="accent1"/>
            </a:solidFill>
            <a:ln>
              <a:noFill/>
            </a:ln>
            <a:effectLst/>
          </c:spPr>
          <c:invertIfNegative val="0"/>
          <c:cat>
            <c:strRef>
              <c:f>analysis!$B$13:$B$22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analysis!$C$13:$C$22</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8325-4730-A230-444E70D21EC1}"/>
            </c:ext>
          </c:extLst>
        </c:ser>
        <c:dLbls>
          <c:showLegendKey val="0"/>
          <c:showVal val="0"/>
          <c:showCatName val="0"/>
          <c:showSerName val="0"/>
          <c:showPercent val="0"/>
          <c:showBubbleSize val="0"/>
        </c:dLbls>
        <c:gapWidth val="182"/>
        <c:axId val="1813691167"/>
        <c:axId val="1813677247"/>
      </c:barChart>
      <c:catAx>
        <c:axId val="181369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677247"/>
        <c:crosses val="autoZero"/>
        <c:auto val="1"/>
        <c:lblAlgn val="ctr"/>
        <c:lblOffset val="100"/>
        <c:noMultiLvlLbl val="0"/>
      </c:catAx>
      <c:valAx>
        <c:axId val="181367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69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Attrition</a:t>
            </a:r>
            <a:r>
              <a:rPr lang="en-US" sz="1600" b="1" baseline="0">
                <a:solidFill>
                  <a:schemeClr val="tx1">
                    <a:lumMod val="95000"/>
                    <a:lumOff val="5000"/>
                  </a:schemeClr>
                </a:solidFill>
              </a:rPr>
              <a:t> by Age Group</a:t>
            </a:r>
          </a:p>
        </c:rich>
      </c:tx>
      <c:layout>
        <c:manualLayout>
          <c:xMode val="edge"/>
          <c:yMode val="edge"/>
          <c:x val="0.29784029817350588"/>
          <c:y val="5.02909549539560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analysis!$E$4:$E$8</c:f>
              <c:strCache>
                <c:ptCount val="4"/>
                <c:pt idx="0">
                  <c:v>Young</c:v>
                </c:pt>
                <c:pt idx="1">
                  <c:v>Mid Career</c:v>
                </c:pt>
                <c:pt idx="2">
                  <c:v>Experienced</c:v>
                </c:pt>
                <c:pt idx="3">
                  <c:v>Senior</c:v>
                </c:pt>
              </c:strCache>
            </c:strRef>
          </c:cat>
          <c:val>
            <c:numRef>
              <c:f>analysis!$F$4:$F$8</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0-A1D5-419C-899B-2E58F59746C3}"/>
            </c:ext>
          </c:extLst>
        </c:ser>
        <c:dLbls>
          <c:dLblPos val="outEnd"/>
          <c:showLegendKey val="0"/>
          <c:showVal val="1"/>
          <c:showCatName val="0"/>
          <c:showSerName val="0"/>
          <c:showPercent val="0"/>
          <c:showBubbleSize val="0"/>
        </c:dLbls>
        <c:gapWidth val="219"/>
        <c:overlap val="-27"/>
        <c:axId val="1870916175"/>
        <c:axId val="1870931055"/>
      </c:barChart>
      <c:catAx>
        <c:axId val="18709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31055"/>
        <c:crosses val="autoZero"/>
        <c:auto val="1"/>
        <c:lblAlgn val="ctr"/>
        <c:lblOffset val="100"/>
        <c:noMultiLvlLbl val="0"/>
      </c:catAx>
      <c:valAx>
        <c:axId val="187093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1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Attrition</a:t>
            </a:r>
            <a:r>
              <a:rPr lang="en-US" sz="1600" b="1" baseline="0">
                <a:solidFill>
                  <a:schemeClr val="tx1">
                    <a:lumMod val="95000"/>
                    <a:lumOff val="5000"/>
                  </a:schemeClr>
                </a:solidFill>
              </a:rPr>
              <a:t> by Income Group</a:t>
            </a:r>
            <a:endParaRPr lang="en-US" sz="1600" b="1">
              <a:solidFill>
                <a:schemeClr val="tx1">
                  <a:lumMod val="95000"/>
                  <a:lumOff val="5000"/>
                </a:schemeClr>
              </a:solidFill>
            </a:endParaRPr>
          </a:p>
        </c:rich>
      </c:tx>
      <c:layout>
        <c:manualLayout>
          <c:xMode val="edge"/>
          <c:yMode val="edge"/>
          <c:x val="0.26648017117043155"/>
          <c:y val="5.4103411410243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col"/>
        <c:grouping val="clustered"/>
        <c:varyColors val="0"/>
        <c:ser>
          <c:idx val="0"/>
          <c:order val="0"/>
          <c:tx>
            <c:strRef>
              <c:f>analysis!$F$12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C00-4B25-97EB-ABFDE84AC74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C00-4B25-97EB-ABFDE84AC74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C00-4B25-97EB-ABFDE84AC7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analysis!$E$13:$E$16</c:f>
              <c:strCache>
                <c:ptCount val="3"/>
                <c:pt idx="0">
                  <c:v>Low Income</c:v>
                </c:pt>
                <c:pt idx="1">
                  <c:v>Medium Income</c:v>
                </c:pt>
                <c:pt idx="2">
                  <c:v>High Income</c:v>
                </c:pt>
              </c:strCache>
            </c:strRef>
          </c:cat>
          <c:val>
            <c:numRef>
              <c:f>analysis!$F$13:$F$16</c:f>
              <c:numCache>
                <c:formatCode>General</c:formatCode>
                <c:ptCount val="3"/>
                <c:pt idx="0">
                  <c:v>113</c:v>
                </c:pt>
                <c:pt idx="1">
                  <c:v>77</c:v>
                </c:pt>
                <c:pt idx="2">
                  <c:v>47</c:v>
                </c:pt>
              </c:numCache>
            </c:numRef>
          </c:val>
          <c:extLst>
            <c:ext xmlns:c16="http://schemas.microsoft.com/office/drawing/2014/chart" uri="{C3380CC4-5D6E-409C-BE32-E72D297353CC}">
              <c16:uniqueId val="{00000006-BC00-4B25-97EB-ABFDE84AC747}"/>
            </c:ext>
          </c:extLst>
        </c:ser>
        <c:dLbls>
          <c:dLblPos val="outEnd"/>
          <c:showLegendKey val="0"/>
          <c:showVal val="1"/>
          <c:showCatName val="0"/>
          <c:showSerName val="0"/>
          <c:showPercent val="0"/>
          <c:showBubbleSize val="0"/>
        </c:dLbls>
        <c:gapWidth val="100"/>
        <c:axId val="1813745407"/>
        <c:axId val="1813733407"/>
      </c:barChart>
      <c:catAx>
        <c:axId val="181374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33407"/>
        <c:crosses val="autoZero"/>
        <c:auto val="1"/>
        <c:lblAlgn val="ctr"/>
        <c:lblOffset val="100"/>
        <c:noMultiLvlLbl val="0"/>
      </c:catAx>
      <c:valAx>
        <c:axId val="1813733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Overtime</a:t>
            </a:r>
            <a:r>
              <a:rPr lang="en-US" sz="1600" b="1" baseline="0">
                <a:solidFill>
                  <a:schemeClr val="tx1">
                    <a:lumMod val="95000"/>
                    <a:lumOff val="5000"/>
                  </a:schemeClr>
                </a:solidFill>
              </a:rPr>
              <a:t> Impact</a:t>
            </a:r>
            <a:endParaRPr lang="en-US" sz="1600" b="1">
              <a:solidFill>
                <a:schemeClr val="tx1">
                  <a:lumMod val="95000"/>
                  <a:lumOff val="5000"/>
                </a:schemeClr>
              </a:solidFill>
            </a:endParaRPr>
          </a:p>
        </c:rich>
      </c:tx>
      <c:layout>
        <c:manualLayout>
          <c:xMode val="edge"/>
          <c:yMode val="edge"/>
          <c:x val="0.35013361575950841"/>
          <c:y val="4.4102554065090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rgbClr val="B80000"/>
          </a:solidFill>
          <a:ln w="19050">
            <a:solidFill>
              <a:schemeClr val="lt1"/>
            </a:solidFill>
          </a:ln>
          <a:effectLst/>
        </c:spPr>
      </c:pivotFmt>
    </c:pivotFmts>
    <c:plotArea>
      <c:layout/>
      <c:barChart>
        <c:barDir val="bar"/>
        <c:grouping val="clustered"/>
        <c:varyColors val="0"/>
        <c:ser>
          <c:idx val="0"/>
          <c:order val="0"/>
          <c:tx>
            <c:strRef>
              <c:f>analysis!$F$20</c:f>
              <c:strCache>
                <c:ptCount val="1"/>
                <c:pt idx="0">
                  <c:v>Total</c:v>
                </c:pt>
              </c:strCache>
            </c:strRef>
          </c:tx>
          <c:spPr>
            <a:solidFill>
              <a:schemeClr val="accent6">
                <a:lumMod val="75000"/>
              </a:schemeClr>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FA7F-4758-ACFF-05B37AE59FCF}"/>
              </c:ext>
            </c:extLst>
          </c:dPt>
          <c:dPt>
            <c:idx val="1"/>
            <c:invertIfNegative val="0"/>
            <c:bubble3D val="0"/>
            <c:spPr>
              <a:solidFill>
                <a:srgbClr val="B80000"/>
              </a:solidFill>
              <a:ln w="19050">
                <a:solidFill>
                  <a:schemeClr val="lt1"/>
                </a:solidFill>
              </a:ln>
              <a:effectLst/>
            </c:spPr>
            <c:extLst>
              <c:ext xmlns:c16="http://schemas.microsoft.com/office/drawing/2014/chart" uri="{C3380CC4-5D6E-409C-BE32-E72D297353CC}">
                <c16:uniqueId val="{00000003-FA7F-4758-ACFF-05B37AE59F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analysis!$E$21:$E$23</c:f>
              <c:strCache>
                <c:ptCount val="2"/>
                <c:pt idx="0">
                  <c:v>No</c:v>
                </c:pt>
                <c:pt idx="1">
                  <c:v>Yes</c:v>
                </c:pt>
              </c:strCache>
            </c:strRef>
          </c:cat>
          <c:val>
            <c:numRef>
              <c:f>analysis!$F$21:$F$23</c:f>
              <c:numCache>
                <c:formatCode>General</c:formatCode>
                <c:ptCount val="2"/>
                <c:pt idx="0">
                  <c:v>110</c:v>
                </c:pt>
                <c:pt idx="1">
                  <c:v>127</c:v>
                </c:pt>
              </c:numCache>
            </c:numRef>
          </c:val>
          <c:extLst>
            <c:ext xmlns:c16="http://schemas.microsoft.com/office/drawing/2014/chart" uri="{C3380CC4-5D6E-409C-BE32-E72D297353CC}">
              <c16:uniqueId val="{00000004-FA7F-4758-ACFF-05B37AE59FCF}"/>
            </c:ext>
          </c:extLst>
        </c:ser>
        <c:dLbls>
          <c:showLegendKey val="0"/>
          <c:showVal val="0"/>
          <c:showCatName val="0"/>
          <c:showSerName val="0"/>
          <c:showPercent val="0"/>
          <c:showBubbleSize val="0"/>
        </c:dLbls>
        <c:gapWidth val="100"/>
        <c:axId val="2027850335"/>
        <c:axId val="2027848895"/>
      </c:barChart>
      <c:valAx>
        <c:axId val="2027848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850335"/>
        <c:crosses val="autoZero"/>
        <c:crossBetween val="between"/>
      </c:valAx>
      <c:catAx>
        <c:axId val="2027850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278488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353506</xdr:colOff>
      <xdr:row>4</xdr:row>
      <xdr:rowOff>136688</xdr:rowOff>
    </xdr:from>
    <xdr:to>
      <xdr:col>3</xdr:col>
      <xdr:colOff>102125</xdr:colOff>
      <xdr:row>9</xdr:row>
      <xdr:rowOff>109979</xdr:rowOff>
    </xdr:to>
    <xdr:grpSp>
      <xdr:nvGrpSpPr>
        <xdr:cNvPr id="43" name="Group 42">
          <a:extLst>
            <a:ext uri="{FF2B5EF4-FFF2-40B4-BE49-F238E27FC236}">
              <a16:creationId xmlns:a16="http://schemas.microsoft.com/office/drawing/2014/main" id="{90C98946-CC0B-FD2F-88B4-9D5C2C15D0E7}"/>
            </a:ext>
          </a:extLst>
        </xdr:cNvPr>
        <xdr:cNvGrpSpPr/>
      </xdr:nvGrpSpPr>
      <xdr:grpSpPr>
        <a:xfrm>
          <a:off x="353506" y="881755"/>
          <a:ext cx="1577419" cy="904624"/>
          <a:chOff x="353506" y="859410"/>
          <a:chExt cx="1586846" cy="876693"/>
        </a:xfrm>
      </xdr:grpSpPr>
      <xdr:sp macro="" textlink="">
        <xdr:nvSpPr>
          <xdr:cNvPr id="2" name="Rectangle: Rounded Corners 1">
            <a:extLst>
              <a:ext uri="{FF2B5EF4-FFF2-40B4-BE49-F238E27FC236}">
                <a16:creationId xmlns:a16="http://schemas.microsoft.com/office/drawing/2014/main" id="{8B5A08E7-A58D-CF7A-81B2-D1AD4F473E00}"/>
              </a:ext>
            </a:extLst>
          </xdr:cNvPr>
          <xdr:cNvSpPr/>
        </xdr:nvSpPr>
        <xdr:spPr>
          <a:xfrm>
            <a:off x="353506" y="859410"/>
            <a:ext cx="1586846" cy="876693"/>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b"/>
          <a:lstStyle/>
          <a:p>
            <a:pPr algn="ctr"/>
            <a:r>
              <a:rPr lang="en-IN" sz="1150"/>
              <a:t>Total Employees</a:t>
            </a:r>
          </a:p>
          <a:p>
            <a:pPr algn="l"/>
            <a:endParaRPr lang="en-IN" sz="1100"/>
          </a:p>
          <a:p>
            <a:pPr algn="l"/>
            <a:endParaRPr lang="en-IN" sz="1100"/>
          </a:p>
        </xdr:txBody>
      </xdr:sp>
      <xdr:sp macro="" textlink="data_understanding!B4">
        <xdr:nvSpPr>
          <xdr:cNvPr id="3" name="TextBox 2">
            <a:extLst>
              <a:ext uri="{FF2B5EF4-FFF2-40B4-BE49-F238E27FC236}">
                <a16:creationId xmlns:a16="http://schemas.microsoft.com/office/drawing/2014/main" id="{DE779A3D-202F-B99B-9683-82959AD4C503}"/>
              </a:ext>
            </a:extLst>
          </xdr:cNvPr>
          <xdr:cNvSpPr txBox="1"/>
        </xdr:nvSpPr>
        <xdr:spPr>
          <a:xfrm>
            <a:off x="860825" y="1270497"/>
            <a:ext cx="754380" cy="329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1ED326A-459C-4670-A1B7-181E5E9B5C65}" type="TxLink">
              <a:rPr lang="en-US" sz="1600" b="1" i="0" u="none" strike="noStrike">
                <a:solidFill>
                  <a:srgbClr val="000000"/>
                </a:solidFill>
                <a:latin typeface="Calibri"/>
                <a:ea typeface="Calibri"/>
                <a:cs typeface="Calibri"/>
              </a:rPr>
              <a:pPr/>
              <a:t>1470</a:t>
            </a:fld>
            <a:endParaRPr lang="en-IN" sz="1600" b="1"/>
          </a:p>
        </xdr:txBody>
      </xdr:sp>
    </xdr:grpSp>
    <xdr:clientData/>
  </xdr:twoCellAnchor>
  <xdr:twoCellAnchor>
    <xdr:from>
      <xdr:col>11</xdr:col>
      <xdr:colOff>26943</xdr:colOff>
      <xdr:row>4</xdr:row>
      <xdr:rowOff>136688</xdr:rowOff>
    </xdr:from>
    <xdr:to>
      <xdr:col>13</xdr:col>
      <xdr:colOff>353504</xdr:colOff>
      <xdr:row>9</xdr:row>
      <xdr:rowOff>94266</xdr:rowOff>
    </xdr:to>
    <xdr:sp macro="" textlink="">
      <xdr:nvSpPr>
        <xdr:cNvPr id="6" name="Rectangle: Rounded Corners 5">
          <a:extLst>
            <a:ext uri="{FF2B5EF4-FFF2-40B4-BE49-F238E27FC236}">
              <a16:creationId xmlns:a16="http://schemas.microsoft.com/office/drawing/2014/main" id="{7349005A-61F0-C9AE-29BB-362F1560E246}"/>
            </a:ext>
          </a:extLst>
        </xdr:cNvPr>
        <xdr:cNvSpPr/>
      </xdr:nvSpPr>
      <xdr:spPr>
        <a:xfrm>
          <a:off x="6767108" y="859410"/>
          <a:ext cx="1552045" cy="860980"/>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50">
              <a:solidFill>
                <a:sysClr val="windowText" lastClr="000000"/>
              </a:solidFill>
            </a:rPr>
            <a:t>Attrition</a:t>
          </a:r>
          <a:r>
            <a:rPr lang="en-IN" sz="1150" baseline="0">
              <a:solidFill>
                <a:sysClr val="windowText" lastClr="000000"/>
              </a:solidFill>
            </a:rPr>
            <a:t> Rate</a:t>
          </a:r>
          <a:endParaRPr lang="en-IN" sz="1150">
            <a:solidFill>
              <a:sysClr val="windowText" lastClr="000000"/>
            </a:solidFill>
          </a:endParaRPr>
        </a:p>
        <a:p>
          <a:pPr algn="l"/>
          <a:endParaRPr lang="en-IN" sz="1100"/>
        </a:p>
      </xdr:txBody>
    </xdr:sp>
    <xdr:clientData/>
  </xdr:twoCellAnchor>
  <xdr:twoCellAnchor>
    <xdr:from>
      <xdr:col>4</xdr:col>
      <xdr:colOff>3630</xdr:colOff>
      <xdr:row>4</xdr:row>
      <xdr:rowOff>136688</xdr:rowOff>
    </xdr:from>
    <xdr:to>
      <xdr:col>6</xdr:col>
      <xdr:colOff>337793</xdr:colOff>
      <xdr:row>9</xdr:row>
      <xdr:rowOff>109979</xdr:rowOff>
    </xdr:to>
    <xdr:grpSp>
      <xdr:nvGrpSpPr>
        <xdr:cNvPr id="42" name="Group 41">
          <a:extLst>
            <a:ext uri="{FF2B5EF4-FFF2-40B4-BE49-F238E27FC236}">
              <a16:creationId xmlns:a16="http://schemas.microsoft.com/office/drawing/2014/main" id="{CB9FDCF9-8906-95FD-AE62-F0AD85D3A483}"/>
            </a:ext>
          </a:extLst>
        </xdr:cNvPr>
        <xdr:cNvGrpSpPr/>
      </xdr:nvGrpSpPr>
      <xdr:grpSpPr>
        <a:xfrm>
          <a:off x="2442030" y="881755"/>
          <a:ext cx="1553363" cy="904624"/>
          <a:chOff x="2454599" y="859410"/>
          <a:chExt cx="1559648" cy="876693"/>
        </a:xfrm>
      </xdr:grpSpPr>
      <xdr:sp macro="" textlink="">
        <xdr:nvSpPr>
          <xdr:cNvPr id="4" name="Rectangle: Rounded Corners 3">
            <a:extLst>
              <a:ext uri="{FF2B5EF4-FFF2-40B4-BE49-F238E27FC236}">
                <a16:creationId xmlns:a16="http://schemas.microsoft.com/office/drawing/2014/main" id="{FBDAC72C-AC66-35F1-0428-48B5361D6BF0}"/>
              </a:ext>
            </a:extLst>
          </xdr:cNvPr>
          <xdr:cNvSpPr/>
        </xdr:nvSpPr>
        <xdr:spPr>
          <a:xfrm>
            <a:off x="2454599" y="859410"/>
            <a:ext cx="1559648" cy="876693"/>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150">
                <a:solidFill>
                  <a:sysClr val="windowText" lastClr="000000"/>
                </a:solidFill>
              </a:rPr>
              <a:t>Active Employees</a:t>
            </a:r>
          </a:p>
          <a:p>
            <a:pPr algn="l"/>
            <a:endParaRPr lang="en-IN" sz="1100">
              <a:solidFill>
                <a:sysClr val="windowText" lastClr="000000"/>
              </a:solidFill>
            </a:endParaRPr>
          </a:p>
          <a:p>
            <a:pPr algn="l"/>
            <a:endParaRPr lang="en-IN" sz="1100"/>
          </a:p>
        </xdr:txBody>
      </xdr:sp>
      <xdr:sp macro="" textlink="data_understanding!B5">
        <xdr:nvSpPr>
          <xdr:cNvPr id="9" name="TextBox 8">
            <a:extLst>
              <a:ext uri="{FF2B5EF4-FFF2-40B4-BE49-F238E27FC236}">
                <a16:creationId xmlns:a16="http://schemas.microsoft.com/office/drawing/2014/main" id="{EF776368-08C7-6738-E86B-EBD1D5B1AC4B}"/>
              </a:ext>
            </a:extLst>
          </xdr:cNvPr>
          <xdr:cNvSpPr txBox="1"/>
        </xdr:nvSpPr>
        <xdr:spPr>
          <a:xfrm>
            <a:off x="2915790" y="1268940"/>
            <a:ext cx="853440" cy="329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fld id="{7FC85082-E8C3-453C-8519-3912A3B85CE4}" type="TxLink">
              <a:rPr lang="en-US" sz="1600" b="1" i="0" u="none" strike="noStrike">
                <a:solidFill>
                  <a:srgbClr val="000000"/>
                </a:solidFill>
                <a:latin typeface="Calibri"/>
                <a:ea typeface="Calibri"/>
                <a:cs typeface="Calibri"/>
              </a:rPr>
              <a:pPr/>
              <a:t>1233</a:t>
            </a:fld>
            <a:endParaRPr lang="en-IN" sz="1600" b="1"/>
          </a:p>
        </xdr:txBody>
      </xdr:sp>
    </xdr:grpSp>
    <xdr:clientData/>
  </xdr:twoCellAnchor>
  <xdr:twoCellAnchor>
    <xdr:from>
      <xdr:col>7</xdr:col>
      <xdr:colOff>294283</xdr:colOff>
      <xdr:row>4</xdr:row>
      <xdr:rowOff>136688</xdr:rowOff>
    </xdr:from>
    <xdr:to>
      <xdr:col>10</xdr:col>
      <xdr:colOff>15712</xdr:colOff>
      <xdr:row>9</xdr:row>
      <xdr:rowOff>86411</xdr:rowOff>
    </xdr:to>
    <xdr:grpSp>
      <xdr:nvGrpSpPr>
        <xdr:cNvPr id="41" name="Group 40">
          <a:extLst>
            <a:ext uri="{FF2B5EF4-FFF2-40B4-BE49-F238E27FC236}">
              <a16:creationId xmlns:a16="http://schemas.microsoft.com/office/drawing/2014/main" id="{7305E6B9-3E53-8A58-5B34-2FD782153BC1}"/>
            </a:ext>
          </a:extLst>
        </xdr:cNvPr>
        <xdr:cNvGrpSpPr/>
      </xdr:nvGrpSpPr>
      <xdr:grpSpPr>
        <a:xfrm>
          <a:off x="4561483" y="881755"/>
          <a:ext cx="1550229" cy="881056"/>
          <a:chOff x="4583479" y="859410"/>
          <a:chExt cx="1559656" cy="853125"/>
        </a:xfrm>
      </xdr:grpSpPr>
      <xdr:sp macro="" textlink="">
        <xdr:nvSpPr>
          <xdr:cNvPr id="5" name="Rectangle: Rounded Corners 4">
            <a:extLst>
              <a:ext uri="{FF2B5EF4-FFF2-40B4-BE49-F238E27FC236}">
                <a16:creationId xmlns:a16="http://schemas.microsoft.com/office/drawing/2014/main" id="{74B0FEFC-D944-98D8-D6CA-6623EA8D5634}"/>
              </a:ext>
            </a:extLst>
          </xdr:cNvPr>
          <xdr:cNvSpPr/>
        </xdr:nvSpPr>
        <xdr:spPr>
          <a:xfrm>
            <a:off x="4583479" y="859410"/>
            <a:ext cx="1559656" cy="853125"/>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150">
                <a:solidFill>
                  <a:sysClr val="windowText" lastClr="000000"/>
                </a:solidFill>
              </a:rPr>
              <a:t>Attrition</a:t>
            </a:r>
            <a:r>
              <a:rPr lang="en-IN" sz="1150" baseline="0">
                <a:solidFill>
                  <a:sysClr val="windowText" lastClr="000000"/>
                </a:solidFill>
              </a:rPr>
              <a:t> </a:t>
            </a:r>
            <a:endParaRPr lang="en-IN" sz="1150">
              <a:solidFill>
                <a:sysClr val="windowText" lastClr="000000"/>
              </a:solidFill>
            </a:endParaRPr>
          </a:p>
          <a:p>
            <a:pPr algn="l"/>
            <a:endParaRPr lang="en-IN" sz="1100"/>
          </a:p>
          <a:p>
            <a:pPr algn="l"/>
            <a:endParaRPr lang="en-IN" sz="1100"/>
          </a:p>
        </xdr:txBody>
      </xdr:sp>
      <xdr:sp macro="" textlink="data_understanding!B9">
        <xdr:nvSpPr>
          <xdr:cNvPr id="10" name="TextBox 9">
            <a:extLst>
              <a:ext uri="{FF2B5EF4-FFF2-40B4-BE49-F238E27FC236}">
                <a16:creationId xmlns:a16="http://schemas.microsoft.com/office/drawing/2014/main" id="{62A1A78D-E4F7-9BF1-9CFD-2F38AC166F12}"/>
              </a:ext>
            </a:extLst>
          </xdr:cNvPr>
          <xdr:cNvSpPr txBox="1"/>
        </xdr:nvSpPr>
        <xdr:spPr>
          <a:xfrm>
            <a:off x="5135801" y="1253642"/>
            <a:ext cx="754380" cy="328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fld id="{AAF95558-A95F-42F7-B9AB-E9C93E25F5E0}" type="TxLink">
              <a:rPr lang="en-US" sz="1600" b="1" i="0" u="none" strike="noStrike">
                <a:solidFill>
                  <a:srgbClr val="000000"/>
                </a:solidFill>
                <a:latin typeface="Calibri"/>
                <a:ea typeface="Calibri"/>
                <a:cs typeface="Calibri"/>
              </a:rPr>
              <a:pPr/>
              <a:t>237</a:t>
            </a:fld>
            <a:endParaRPr lang="en-IN" sz="1600" b="1"/>
          </a:p>
        </xdr:txBody>
      </xdr:sp>
    </xdr:grpSp>
    <xdr:clientData/>
  </xdr:twoCellAnchor>
  <xdr:twoCellAnchor>
    <xdr:from>
      <xdr:col>14</xdr:col>
      <xdr:colOff>340778</xdr:colOff>
      <xdr:row>4</xdr:row>
      <xdr:rowOff>136688</xdr:rowOff>
    </xdr:from>
    <xdr:to>
      <xdr:col>17</xdr:col>
      <xdr:colOff>39278</xdr:colOff>
      <xdr:row>9</xdr:row>
      <xdr:rowOff>102122</xdr:rowOff>
    </xdr:to>
    <xdr:grpSp>
      <xdr:nvGrpSpPr>
        <xdr:cNvPr id="39" name="Group 38">
          <a:extLst>
            <a:ext uri="{FF2B5EF4-FFF2-40B4-BE49-F238E27FC236}">
              <a16:creationId xmlns:a16="http://schemas.microsoft.com/office/drawing/2014/main" id="{05BFDD0F-9FA4-1B18-48B7-2C0B843FF265}"/>
            </a:ext>
          </a:extLst>
        </xdr:cNvPr>
        <xdr:cNvGrpSpPr/>
      </xdr:nvGrpSpPr>
      <xdr:grpSpPr>
        <a:xfrm>
          <a:off x="8875178" y="881755"/>
          <a:ext cx="1527300" cy="896767"/>
          <a:chOff x="8919170" y="859410"/>
          <a:chExt cx="1536727" cy="868836"/>
        </a:xfrm>
      </xdr:grpSpPr>
      <xdr:sp macro="" textlink="">
        <xdr:nvSpPr>
          <xdr:cNvPr id="7" name="Rectangle: Rounded Corners 6">
            <a:extLst>
              <a:ext uri="{FF2B5EF4-FFF2-40B4-BE49-F238E27FC236}">
                <a16:creationId xmlns:a16="http://schemas.microsoft.com/office/drawing/2014/main" id="{E55F0F8C-2EBE-9844-984C-17D54F2D889B}"/>
              </a:ext>
            </a:extLst>
          </xdr:cNvPr>
          <xdr:cNvSpPr/>
        </xdr:nvSpPr>
        <xdr:spPr>
          <a:xfrm>
            <a:off x="8919170" y="859410"/>
            <a:ext cx="1536727" cy="868836"/>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50">
              <a:solidFill>
                <a:sysClr val="windowText" lastClr="000000"/>
              </a:solidFill>
            </a:endParaRPr>
          </a:p>
          <a:p>
            <a:pPr algn="ctr"/>
            <a:r>
              <a:rPr lang="en-IN" sz="1150">
                <a:solidFill>
                  <a:sysClr val="windowText" lastClr="000000"/>
                </a:solidFill>
              </a:rPr>
              <a:t>Average</a:t>
            </a:r>
            <a:r>
              <a:rPr lang="en-IN" sz="1150" baseline="0">
                <a:solidFill>
                  <a:sysClr val="windowText" lastClr="000000"/>
                </a:solidFill>
              </a:rPr>
              <a:t> Salary</a:t>
            </a:r>
            <a:endParaRPr lang="en-IN" sz="1150">
              <a:solidFill>
                <a:sysClr val="windowText" lastClr="000000"/>
              </a:solidFill>
            </a:endParaRPr>
          </a:p>
        </xdr:txBody>
      </xdr:sp>
      <xdr:sp macro="" textlink="data_understanding!B10">
        <xdr:nvSpPr>
          <xdr:cNvPr id="12" name="TextBox 11">
            <a:extLst>
              <a:ext uri="{FF2B5EF4-FFF2-40B4-BE49-F238E27FC236}">
                <a16:creationId xmlns:a16="http://schemas.microsoft.com/office/drawing/2014/main" id="{B67D653D-1CF7-37AE-D460-67E9CA655AB7}"/>
              </a:ext>
            </a:extLst>
          </xdr:cNvPr>
          <xdr:cNvSpPr txBox="1"/>
        </xdr:nvSpPr>
        <xdr:spPr>
          <a:xfrm>
            <a:off x="9271010" y="1275066"/>
            <a:ext cx="868680" cy="329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3AF3F6E-4FAC-41C4-8F27-91B3E17E9759}" type="TxLink">
              <a:rPr lang="en-US" sz="1600" b="1" i="0" u="none" strike="noStrike">
                <a:solidFill>
                  <a:srgbClr val="000000"/>
                </a:solidFill>
                <a:latin typeface="Calibri"/>
                <a:ea typeface="Calibri"/>
                <a:cs typeface="Calibri"/>
              </a:rPr>
              <a:pPr/>
              <a:t>6502.93</a:t>
            </a:fld>
            <a:endParaRPr lang="en-IN" sz="1600" b="1"/>
          </a:p>
        </xdr:txBody>
      </xdr:sp>
    </xdr:grpSp>
    <xdr:clientData/>
  </xdr:twoCellAnchor>
  <xdr:twoCellAnchor>
    <xdr:from>
      <xdr:col>17</xdr:col>
      <xdr:colOff>564587</xdr:colOff>
      <xdr:row>4</xdr:row>
      <xdr:rowOff>136688</xdr:rowOff>
    </xdr:from>
    <xdr:to>
      <xdr:col>20</xdr:col>
      <xdr:colOff>274949</xdr:colOff>
      <xdr:row>9</xdr:row>
      <xdr:rowOff>109979</xdr:rowOff>
    </xdr:to>
    <xdr:grpSp>
      <xdr:nvGrpSpPr>
        <xdr:cNvPr id="38" name="Group 37">
          <a:extLst>
            <a:ext uri="{FF2B5EF4-FFF2-40B4-BE49-F238E27FC236}">
              <a16:creationId xmlns:a16="http://schemas.microsoft.com/office/drawing/2014/main" id="{63FEA34A-9200-9D80-D40F-679826E27338}"/>
            </a:ext>
          </a:extLst>
        </xdr:cNvPr>
        <xdr:cNvGrpSpPr/>
      </xdr:nvGrpSpPr>
      <xdr:grpSpPr>
        <a:xfrm>
          <a:off x="10927787" y="881755"/>
          <a:ext cx="1539162" cy="904624"/>
          <a:chOff x="10981206" y="859410"/>
          <a:chExt cx="1548588" cy="876693"/>
        </a:xfrm>
      </xdr:grpSpPr>
      <xdr:sp macro="" textlink="">
        <xdr:nvSpPr>
          <xdr:cNvPr id="8" name="Rectangle: Rounded Corners 7">
            <a:extLst>
              <a:ext uri="{FF2B5EF4-FFF2-40B4-BE49-F238E27FC236}">
                <a16:creationId xmlns:a16="http://schemas.microsoft.com/office/drawing/2014/main" id="{8AB6DB67-0BC0-C4E5-8CA9-662F10605E1E}"/>
              </a:ext>
            </a:extLst>
          </xdr:cNvPr>
          <xdr:cNvSpPr/>
        </xdr:nvSpPr>
        <xdr:spPr>
          <a:xfrm>
            <a:off x="10981206" y="859410"/>
            <a:ext cx="1548588" cy="876693"/>
          </a:xfrm>
          <a:prstGeom prst="round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50">
              <a:solidFill>
                <a:sysClr val="windowText" lastClr="000000"/>
              </a:solidFill>
            </a:endParaRPr>
          </a:p>
          <a:p>
            <a:pPr algn="ctr"/>
            <a:r>
              <a:rPr lang="en-IN" sz="1150">
                <a:solidFill>
                  <a:sysClr val="windowText" lastClr="000000"/>
                </a:solidFill>
              </a:rPr>
              <a:t>Average</a:t>
            </a:r>
            <a:r>
              <a:rPr lang="en-IN" sz="1150" baseline="0">
                <a:solidFill>
                  <a:sysClr val="windowText" lastClr="000000"/>
                </a:solidFill>
              </a:rPr>
              <a:t> Age</a:t>
            </a:r>
          </a:p>
          <a:p>
            <a:pPr algn="l"/>
            <a:endParaRPr lang="en-IN" sz="1100"/>
          </a:p>
          <a:p>
            <a:pPr algn="l"/>
            <a:endParaRPr lang="en-IN" sz="1100"/>
          </a:p>
          <a:p>
            <a:pPr algn="l"/>
            <a:endParaRPr lang="en-IN" sz="1100"/>
          </a:p>
        </xdr:txBody>
      </xdr:sp>
      <xdr:sp macro="" textlink="data_understanding!B11">
        <xdr:nvSpPr>
          <xdr:cNvPr id="13" name="TextBox 12">
            <a:extLst>
              <a:ext uri="{FF2B5EF4-FFF2-40B4-BE49-F238E27FC236}">
                <a16:creationId xmlns:a16="http://schemas.microsoft.com/office/drawing/2014/main" id="{D073FCD5-FEFC-7A74-2034-0673E4765D53}"/>
              </a:ext>
            </a:extLst>
          </xdr:cNvPr>
          <xdr:cNvSpPr txBox="1"/>
        </xdr:nvSpPr>
        <xdr:spPr>
          <a:xfrm>
            <a:off x="11445083" y="1263585"/>
            <a:ext cx="746760" cy="329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EF8D06E-8CBE-4DD3-BF3B-E199D8BEDFEC}" type="TxLink">
              <a:rPr lang="en-US" sz="1600" b="0" i="0" u="none" strike="noStrike">
                <a:solidFill>
                  <a:srgbClr val="000000"/>
                </a:solidFill>
                <a:latin typeface="Calibri"/>
                <a:ea typeface="Calibri"/>
                <a:cs typeface="Calibri"/>
              </a:rPr>
              <a:pPr/>
              <a:t>36.92</a:t>
            </a:fld>
            <a:endParaRPr lang="en-IN" sz="1600"/>
          </a:p>
        </xdr:txBody>
      </xdr:sp>
    </xdr:grpSp>
    <xdr:clientData/>
  </xdr:twoCellAnchor>
  <xdr:twoCellAnchor>
    <xdr:from>
      <xdr:col>1</xdr:col>
      <xdr:colOff>100982</xdr:colOff>
      <xdr:row>12</xdr:row>
      <xdr:rowOff>10887</xdr:rowOff>
    </xdr:from>
    <xdr:to>
      <xdr:col>9</xdr:col>
      <xdr:colOff>249560</xdr:colOff>
      <xdr:row>28</xdr:row>
      <xdr:rowOff>116343</xdr:rowOff>
    </xdr:to>
    <xdr:graphicFrame macro="">
      <xdr:nvGraphicFramePr>
        <xdr:cNvPr id="14" name="Chart 2">
          <a:extLst>
            <a:ext uri="{FF2B5EF4-FFF2-40B4-BE49-F238E27FC236}">
              <a16:creationId xmlns:a16="http://schemas.microsoft.com/office/drawing/2014/main" id="{2AEE700E-AECF-297A-F14F-CEC52BFCC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599091</xdr:colOff>
      <xdr:row>12</xdr:row>
      <xdr:rowOff>10887</xdr:rowOff>
    </xdr:from>
    <xdr:to>
      <xdr:col>19</xdr:col>
      <xdr:colOff>524245</xdr:colOff>
      <xdr:row>28</xdr:row>
      <xdr:rowOff>106748</xdr:rowOff>
    </xdr:to>
    <xdr:graphicFrame macro="">
      <xdr:nvGraphicFramePr>
        <xdr:cNvPr id="15" name="Chart 3">
          <a:extLst>
            <a:ext uri="{FF2B5EF4-FFF2-40B4-BE49-F238E27FC236}">
              <a16:creationId xmlns:a16="http://schemas.microsoft.com/office/drawing/2014/main" id="{A74C7CC1-E2C4-0D37-18F0-359E4C8D3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154795</xdr:colOff>
      <xdr:row>33</xdr:row>
      <xdr:rowOff>114100</xdr:rowOff>
    </xdr:from>
    <xdr:to>
      <xdr:col>9</xdr:col>
      <xdr:colOff>249560</xdr:colOff>
      <xdr:row>50</xdr:row>
      <xdr:rowOff>76414</xdr:rowOff>
    </xdr:to>
    <xdr:graphicFrame macro="">
      <xdr:nvGraphicFramePr>
        <xdr:cNvPr id="16" name="Chart 4">
          <a:extLst>
            <a:ext uri="{FF2B5EF4-FFF2-40B4-BE49-F238E27FC236}">
              <a16:creationId xmlns:a16="http://schemas.microsoft.com/office/drawing/2014/main" id="{3AD0C6E1-EC5D-B830-7C71-17DE9E62D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599091</xdr:colOff>
      <xdr:row>33</xdr:row>
      <xdr:rowOff>114100</xdr:rowOff>
    </xdr:from>
    <xdr:to>
      <xdr:col>20</xdr:col>
      <xdr:colOff>71186</xdr:colOff>
      <xdr:row>50</xdr:row>
      <xdr:rowOff>82245</xdr:rowOff>
    </xdr:to>
    <xdr:graphicFrame macro="">
      <xdr:nvGraphicFramePr>
        <xdr:cNvPr id="17" name="Chart 5">
          <a:extLst>
            <a:ext uri="{FF2B5EF4-FFF2-40B4-BE49-F238E27FC236}">
              <a16:creationId xmlns:a16="http://schemas.microsoft.com/office/drawing/2014/main" id="{A2C5803D-CE49-6AF7-4205-3A3382730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97636</xdr:colOff>
      <xdr:row>55</xdr:row>
      <xdr:rowOff>20904</xdr:rowOff>
    </xdr:from>
    <xdr:to>
      <xdr:col>9</xdr:col>
      <xdr:colOff>249560</xdr:colOff>
      <xdr:row>72</xdr:row>
      <xdr:rowOff>69965</xdr:rowOff>
    </xdr:to>
    <xdr:graphicFrame macro="">
      <xdr:nvGraphicFramePr>
        <xdr:cNvPr id="18" name="Chart 6">
          <a:extLst>
            <a:ext uri="{FF2B5EF4-FFF2-40B4-BE49-F238E27FC236}">
              <a16:creationId xmlns:a16="http://schemas.microsoft.com/office/drawing/2014/main" id="{6663ABDA-FF71-7178-7ECC-BF9BCE342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602161</xdr:colOff>
      <xdr:row>5</xdr:row>
      <xdr:rowOff>54693</xdr:rowOff>
    </xdr:from>
    <xdr:to>
      <xdr:col>6</xdr:col>
      <xdr:colOff>337794</xdr:colOff>
      <xdr:row>5</xdr:row>
      <xdr:rowOff>133546</xdr:rowOff>
    </xdr:to>
    <xdr:sp macro="" textlink="">
      <xdr:nvSpPr>
        <xdr:cNvPr id="20" name="Rectangle: Top Corners Snipped 19">
          <a:extLst>
            <a:ext uri="{FF2B5EF4-FFF2-40B4-BE49-F238E27FC236}">
              <a16:creationId xmlns:a16="http://schemas.microsoft.com/office/drawing/2014/main" id="{8EE34DA6-AE6F-E608-B286-DB929DCA2D2D}"/>
            </a:ext>
          </a:extLst>
        </xdr:cNvPr>
        <xdr:cNvSpPr/>
      </xdr:nvSpPr>
      <xdr:spPr>
        <a:xfrm>
          <a:off x="2440388" y="958095"/>
          <a:ext cx="1573860" cy="78853"/>
        </a:xfrm>
        <a:prstGeom prst="snip2Same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352105</xdr:colOff>
      <xdr:row>5</xdr:row>
      <xdr:rowOff>54138</xdr:rowOff>
    </xdr:from>
    <xdr:to>
      <xdr:col>3</xdr:col>
      <xdr:colOff>94268</xdr:colOff>
      <xdr:row>5</xdr:row>
      <xdr:rowOff>133548</xdr:rowOff>
    </xdr:to>
    <xdr:sp macro="" textlink="">
      <xdr:nvSpPr>
        <xdr:cNvPr id="21" name="Rectangle: Top Corners Snipped 20">
          <a:extLst>
            <a:ext uri="{FF2B5EF4-FFF2-40B4-BE49-F238E27FC236}">
              <a16:creationId xmlns:a16="http://schemas.microsoft.com/office/drawing/2014/main" id="{A7455515-04EC-FDAF-59B3-6BF62225660A}"/>
            </a:ext>
          </a:extLst>
        </xdr:cNvPr>
        <xdr:cNvSpPr/>
      </xdr:nvSpPr>
      <xdr:spPr>
        <a:xfrm>
          <a:off x="352105" y="957540"/>
          <a:ext cx="1580390" cy="79410"/>
        </a:xfrm>
        <a:prstGeom prst="snip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300739</xdr:colOff>
      <xdr:row>5</xdr:row>
      <xdr:rowOff>59050</xdr:rowOff>
    </xdr:from>
    <xdr:to>
      <xdr:col>10</xdr:col>
      <xdr:colOff>7856</xdr:colOff>
      <xdr:row>5</xdr:row>
      <xdr:rowOff>125692</xdr:rowOff>
    </xdr:to>
    <xdr:sp macro="" textlink="">
      <xdr:nvSpPr>
        <xdr:cNvPr id="22" name="Rectangle: Top Corners Snipped 21">
          <a:extLst>
            <a:ext uri="{FF2B5EF4-FFF2-40B4-BE49-F238E27FC236}">
              <a16:creationId xmlns:a16="http://schemas.microsoft.com/office/drawing/2014/main" id="{A237A79F-706D-C48F-0849-5CF1FC3A507C}"/>
            </a:ext>
          </a:extLst>
        </xdr:cNvPr>
        <xdr:cNvSpPr/>
      </xdr:nvSpPr>
      <xdr:spPr>
        <a:xfrm>
          <a:off x="4589935" y="962452"/>
          <a:ext cx="1545344" cy="66642"/>
        </a:xfrm>
        <a:prstGeom prst="snip2Same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15711</xdr:colOff>
      <xdr:row>5</xdr:row>
      <xdr:rowOff>59125</xdr:rowOff>
    </xdr:from>
    <xdr:to>
      <xdr:col>13</xdr:col>
      <xdr:colOff>353505</xdr:colOff>
      <xdr:row>8</xdr:row>
      <xdr:rowOff>152600</xdr:rowOff>
    </xdr:to>
    <xdr:grpSp>
      <xdr:nvGrpSpPr>
        <xdr:cNvPr id="40" name="Group 39">
          <a:extLst>
            <a:ext uri="{FF2B5EF4-FFF2-40B4-BE49-F238E27FC236}">
              <a16:creationId xmlns:a16="http://schemas.microsoft.com/office/drawing/2014/main" id="{81284557-4FAB-746E-567C-C6AB207CD996}"/>
            </a:ext>
          </a:extLst>
        </xdr:cNvPr>
        <xdr:cNvGrpSpPr/>
      </xdr:nvGrpSpPr>
      <xdr:grpSpPr>
        <a:xfrm>
          <a:off x="6721311" y="990458"/>
          <a:ext cx="1556994" cy="652275"/>
          <a:chOff x="6755876" y="962527"/>
          <a:chExt cx="1563278" cy="635516"/>
        </a:xfrm>
      </xdr:grpSpPr>
      <xdr:sp macro="" textlink="data_understanding!B6">
        <xdr:nvSpPr>
          <xdr:cNvPr id="11" name="TextBox 10">
            <a:extLst>
              <a:ext uri="{FF2B5EF4-FFF2-40B4-BE49-F238E27FC236}">
                <a16:creationId xmlns:a16="http://schemas.microsoft.com/office/drawing/2014/main" id="{F61C2252-1D50-BB0E-4923-5FADE6AA540D}"/>
              </a:ext>
            </a:extLst>
          </xdr:cNvPr>
          <xdr:cNvSpPr txBox="1"/>
        </xdr:nvSpPr>
        <xdr:spPr>
          <a:xfrm>
            <a:off x="7229730" y="1255257"/>
            <a:ext cx="90874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2BB62DA-368A-497B-8F90-FD0089251DAD}" type="TxLink">
              <a:rPr lang="en-US" sz="1600" b="1" i="0" u="none" strike="noStrike">
                <a:solidFill>
                  <a:srgbClr val="000000"/>
                </a:solidFill>
                <a:latin typeface="Calibri"/>
                <a:ea typeface="Calibri"/>
                <a:cs typeface="Calibri"/>
              </a:rPr>
              <a:pPr/>
              <a:t>16.12%</a:t>
            </a:fld>
            <a:endParaRPr lang="en-IN" sz="1600" b="1"/>
          </a:p>
        </xdr:txBody>
      </xdr:sp>
      <xdr:sp macro="" textlink="">
        <xdr:nvSpPr>
          <xdr:cNvPr id="23" name="Rectangle: Top Corners Snipped 22">
            <a:extLst>
              <a:ext uri="{FF2B5EF4-FFF2-40B4-BE49-F238E27FC236}">
                <a16:creationId xmlns:a16="http://schemas.microsoft.com/office/drawing/2014/main" id="{FED2BD1C-4F3C-7E71-EC23-ADD01FF42CDB}"/>
              </a:ext>
            </a:extLst>
          </xdr:cNvPr>
          <xdr:cNvSpPr/>
        </xdr:nvSpPr>
        <xdr:spPr>
          <a:xfrm>
            <a:off x="6755876" y="962527"/>
            <a:ext cx="1563278" cy="74421"/>
          </a:xfrm>
          <a:prstGeom prst="snip2Same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17</xdr:col>
      <xdr:colOff>563767</xdr:colOff>
      <xdr:row>5</xdr:row>
      <xdr:rowOff>66256</xdr:rowOff>
    </xdr:from>
    <xdr:to>
      <xdr:col>20</xdr:col>
      <xdr:colOff>267093</xdr:colOff>
      <xdr:row>5</xdr:row>
      <xdr:rowOff>141402</xdr:rowOff>
    </xdr:to>
    <xdr:sp macro="" textlink="">
      <xdr:nvSpPr>
        <xdr:cNvPr id="24" name="Rectangle: Top Corners Snipped 23">
          <a:extLst>
            <a:ext uri="{FF2B5EF4-FFF2-40B4-BE49-F238E27FC236}">
              <a16:creationId xmlns:a16="http://schemas.microsoft.com/office/drawing/2014/main" id="{B376892C-48B7-2900-00F6-6A3E04BCDA8E}"/>
            </a:ext>
          </a:extLst>
        </xdr:cNvPr>
        <xdr:cNvSpPr/>
      </xdr:nvSpPr>
      <xdr:spPr>
        <a:xfrm>
          <a:off x="10980386" y="969658"/>
          <a:ext cx="1541552" cy="75146"/>
        </a:xfrm>
        <a:prstGeom prst="snip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337759</xdr:colOff>
      <xdr:row>5</xdr:row>
      <xdr:rowOff>44541</xdr:rowOff>
    </xdr:from>
    <xdr:to>
      <xdr:col>17</xdr:col>
      <xdr:colOff>31422</xdr:colOff>
      <xdr:row>5</xdr:row>
      <xdr:rowOff>125690</xdr:rowOff>
    </xdr:to>
    <xdr:sp macro="" textlink="">
      <xdr:nvSpPr>
        <xdr:cNvPr id="25" name="Rectangle: Top Corners Snipped 24">
          <a:extLst>
            <a:ext uri="{FF2B5EF4-FFF2-40B4-BE49-F238E27FC236}">
              <a16:creationId xmlns:a16="http://schemas.microsoft.com/office/drawing/2014/main" id="{F5C49226-875E-B793-1E2A-B56AE8D77A0A}"/>
            </a:ext>
          </a:extLst>
        </xdr:cNvPr>
        <xdr:cNvSpPr/>
      </xdr:nvSpPr>
      <xdr:spPr>
        <a:xfrm>
          <a:off x="8916151" y="947943"/>
          <a:ext cx="1531890" cy="81149"/>
        </a:xfrm>
        <a:prstGeom prst="snip2SameRect">
          <a:avLst/>
        </a:prstGeom>
        <a:solidFill>
          <a:srgbClr val="0080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131380</xdr:colOff>
      <xdr:row>75</xdr:row>
      <xdr:rowOff>159904</xdr:rowOff>
    </xdr:from>
    <xdr:to>
      <xdr:col>9</xdr:col>
      <xdr:colOff>257188</xdr:colOff>
      <xdr:row>82</xdr:row>
      <xdr:rowOff>62631</xdr:rowOff>
    </xdr:to>
    <mc:AlternateContent xmlns:mc="http://schemas.openxmlformats.org/markup-compatibility/2006">
      <mc:Choice xmlns:a14="http://schemas.microsoft.com/office/drawing/2010/main" Requires="a14">
        <xdr:graphicFrame macro="">
          <xdr:nvGraphicFramePr>
            <xdr:cNvPr id="29" name="Department">
              <a:extLst>
                <a:ext uri="{FF2B5EF4-FFF2-40B4-BE49-F238E27FC236}">
                  <a16:creationId xmlns:a16="http://schemas.microsoft.com/office/drawing/2014/main" id="{D04005AA-116E-3396-F9EF-A9AD94990A4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788980" y="14129904"/>
              <a:ext cx="1954608" cy="1206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407275</xdr:colOff>
      <xdr:row>75</xdr:row>
      <xdr:rowOff>159902</xdr:rowOff>
    </xdr:from>
    <xdr:to>
      <xdr:col>5</xdr:col>
      <xdr:colOff>10439</xdr:colOff>
      <xdr:row>91</xdr:row>
      <xdr:rowOff>10439</xdr:rowOff>
    </xdr:to>
    <mc:AlternateContent xmlns:mc="http://schemas.openxmlformats.org/markup-compatibility/2006">
      <mc:Choice xmlns:a14="http://schemas.microsoft.com/office/drawing/2010/main" Requires="a14">
        <xdr:graphicFrame macro="">
          <xdr:nvGraphicFramePr>
            <xdr:cNvPr id="30" name="JobRole">
              <a:extLst>
                <a:ext uri="{FF2B5EF4-FFF2-40B4-BE49-F238E27FC236}">
                  <a16:creationId xmlns:a16="http://schemas.microsoft.com/office/drawing/2014/main" id="{6A26FB6A-DFFB-E404-4971-B4DFD85E161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16875" y="14129902"/>
              <a:ext cx="2041564" cy="2830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134079</xdr:colOff>
      <xdr:row>83</xdr:row>
      <xdr:rowOff>57140</xdr:rowOff>
    </xdr:from>
    <xdr:to>
      <xdr:col>9</xdr:col>
      <xdr:colOff>252320</xdr:colOff>
      <xdr:row>91</xdr:row>
      <xdr:rowOff>3</xdr:rowOff>
    </xdr:to>
    <mc:AlternateContent xmlns:mc="http://schemas.openxmlformats.org/markup-compatibility/2006">
      <mc:Choice xmlns:a14="http://schemas.microsoft.com/office/drawing/2010/main" Requires="a14">
        <xdr:graphicFrame macro="">
          <xdr:nvGraphicFramePr>
            <xdr:cNvPr id="31" name="Age Group">
              <a:extLst>
                <a:ext uri="{FF2B5EF4-FFF2-40B4-BE49-F238E27FC236}">
                  <a16:creationId xmlns:a16="http://schemas.microsoft.com/office/drawing/2014/main" id="{CD2ED45F-F464-5C87-4F82-748CA549C49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791679" y="15517273"/>
              <a:ext cx="1947041" cy="1432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406765</xdr:colOff>
      <xdr:row>80</xdr:row>
      <xdr:rowOff>177763</xdr:rowOff>
    </xdr:from>
    <xdr:to>
      <xdr:col>18</xdr:col>
      <xdr:colOff>447363</xdr:colOff>
      <xdr:row>92</xdr:row>
      <xdr:rowOff>37811</xdr:rowOff>
    </xdr:to>
    <xdr:sp macro="" textlink="">
      <xdr:nvSpPr>
        <xdr:cNvPr id="37" name="Rectangle: Rounded Corners 36">
          <a:extLst>
            <a:ext uri="{FF2B5EF4-FFF2-40B4-BE49-F238E27FC236}">
              <a16:creationId xmlns:a16="http://schemas.microsoft.com/office/drawing/2014/main" id="{2A48C999-3799-48F6-48BB-D5BB51AFFD7B}"/>
            </a:ext>
          </a:extLst>
        </xdr:cNvPr>
        <xdr:cNvSpPr/>
      </xdr:nvSpPr>
      <xdr:spPr>
        <a:xfrm>
          <a:off x="7112365" y="15079096"/>
          <a:ext cx="4307798" cy="2095248"/>
        </a:xfrm>
        <a:prstGeom prst="roundRect">
          <a:avLst/>
        </a:prstGeom>
        <a:solidFill>
          <a:srgbClr val="EAF2FF"/>
        </a:solidFill>
        <a:ln w="127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2060"/>
              </a:solidFill>
            </a:rPr>
            <a:t>BUSINESS</a:t>
          </a:r>
          <a:r>
            <a:rPr lang="en-IN" sz="1400" b="1" baseline="0">
              <a:solidFill>
                <a:srgbClr val="002060"/>
              </a:solidFill>
            </a:rPr>
            <a:t> RECOMMENDATIONS</a:t>
          </a:r>
        </a:p>
        <a:p>
          <a:pPr algn="l"/>
          <a:endParaRPr lang="en-IN" sz="1200" baseline="0"/>
        </a:p>
        <a:p>
          <a:pPr algn="l"/>
          <a:r>
            <a:rPr lang="en-IN" sz="1300">
              <a:solidFill>
                <a:srgbClr val="002060"/>
              </a:solidFill>
            </a:rPr>
            <a:t>• Reduce overtime workload</a:t>
          </a:r>
          <a:br>
            <a:rPr lang="en-IN" sz="1300">
              <a:solidFill>
                <a:srgbClr val="002060"/>
              </a:solidFill>
            </a:rPr>
          </a:br>
          <a:br>
            <a:rPr lang="en-IN" sz="1300">
              <a:solidFill>
                <a:srgbClr val="002060"/>
              </a:solidFill>
            </a:rPr>
          </a:br>
          <a:r>
            <a:rPr lang="en-IN" sz="1300">
              <a:solidFill>
                <a:srgbClr val="002060"/>
              </a:solidFill>
            </a:rPr>
            <a:t>• Improve retention programs for</a:t>
          </a:r>
          <a:r>
            <a:rPr lang="en-IN" sz="1300" baseline="0">
              <a:solidFill>
                <a:srgbClr val="002060"/>
              </a:solidFill>
            </a:rPr>
            <a:t> </a:t>
          </a:r>
          <a:r>
            <a:rPr lang="en-IN" sz="1300">
              <a:solidFill>
                <a:srgbClr val="002060"/>
              </a:solidFill>
            </a:rPr>
            <a:t>Laboratory Technicians</a:t>
          </a:r>
          <a:br>
            <a:rPr lang="en-IN" sz="1300">
              <a:solidFill>
                <a:srgbClr val="002060"/>
              </a:solidFill>
            </a:rPr>
          </a:br>
          <a:br>
            <a:rPr lang="en-IN" sz="1300">
              <a:solidFill>
                <a:srgbClr val="002060"/>
              </a:solidFill>
            </a:rPr>
          </a:br>
          <a:r>
            <a:rPr lang="en-IN" sz="1300">
              <a:solidFill>
                <a:srgbClr val="002060"/>
              </a:solidFill>
            </a:rPr>
            <a:t>• Review compensation for</a:t>
          </a:r>
          <a:r>
            <a:rPr lang="en-IN" sz="1300" baseline="0">
              <a:solidFill>
                <a:srgbClr val="002060"/>
              </a:solidFill>
            </a:rPr>
            <a:t> </a:t>
          </a:r>
          <a:r>
            <a:rPr lang="en-IN" sz="1300">
              <a:solidFill>
                <a:srgbClr val="002060"/>
              </a:solidFill>
            </a:rPr>
            <a:t>low-income employees</a:t>
          </a:r>
          <a:br>
            <a:rPr lang="en-IN" sz="1300">
              <a:solidFill>
                <a:srgbClr val="002060"/>
              </a:solidFill>
            </a:rPr>
          </a:br>
          <a:br>
            <a:rPr lang="en-IN" sz="1300">
              <a:solidFill>
                <a:srgbClr val="002060"/>
              </a:solidFill>
            </a:rPr>
          </a:br>
          <a:r>
            <a:rPr lang="en-IN" sz="1300">
              <a:solidFill>
                <a:srgbClr val="002060"/>
              </a:solidFill>
            </a:rPr>
            <a:t>• Focus retention efforts on</a:t>
          </a:r>
          <a:r>
            <a:rPr lang="en-IN" sz="1300" baseline="0">
              <a:solidFill>
                <a:srgbClr val="002060"/>
              </a:solidFill>
            </a:rPr>
            <a:t> </a:t>
          </a:r>
          <a:r>
            <a:rPr lang="en-IN" sz="1300">
              <a:solidFill>
                <a:srgbClr val="002060"/>
              </a:solidFill>
            </a:rPr>
            <a:t>younger employees</a:t>
          </a:r>
        </a:p>
      </xdr:txBody>
    </xdr:sp>
    <xdr:clientData/>
  </xdr:twoCellAnchor>
  <xdr:twoCellAnchor>
    <xdr:from>
      <xdr:col>11</xdr:col>
      <xdr:colOff>471621</xdr:colOff>
      <xdr:row>54</xdr:row>
      <xdr:rowOff>8476</xdr:rowOff>
    </xdr:from>
    <xdr:to>
      <xdr:col>18</xdr:col>
      <xdr:colOff>389467</xdr:colOff>
      <xdr:row>79</xdr:row>
      <xdr:rowOff>67733</xdr:rowOff>
    </xdr:to>
    <xdr:sp macro="" textlink="">
      <xdr:nvSpPr>
        <xdr:cNvPr id="44" name="Rectangle: Rounded Corners 43">
          <a:extLst>
            <a:ext uri="{FF2B5EF4-FFF2-40B4-BE49-F238E27FC236}">
              <a16:creationId xmlns:a16="http://schemas.microsoft.com/office/drawing/2014/main" id="{8166CF32-E73F-4F1C-CBBB-AE25D38222C3}"/>
            </a:ext>
          </a:extLst>
        </xdr:cNvPr>
        <xdr:cNvSpPr/>
      </xdr:nvSpPr>
      <xdr:spPr>
        <a:xfrm>
          <a:off x="7177221" y="10066876"/>
          <a:ext cx="4185046" cy="471592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600" b="1"/>
            <a:t>KEY INSIGHTS</a:t>
          </a:r>
          <a:br>
            <a:rPr lang="en-IN"/>
          </a:br>
          <a:br>
            <a:rPr lang="en-IN"/>
          </a:br>
          <a:r>
            <a:rPr lang="en-IN" sz="1400"/>
            <a:t>• R&amp;D has the highest attrition</a:t>
          </a:r>
          <a:br>
            <a:rPr lang="en-IN" sz="1400"/>
          </a:br>
          <a:r>
            <a:rPr lang="en-IN" sz="1400"/>
            <a:t>(133 employees)</a:t>
          </a:r>
          <a:br>
            <a:rPr lang="en-IN" sz="1400"/>
          </a:br>
          <a:br>
            <a:rPr lang="en-IN" sz="1400"/>
          </a:br>
          <a:r>
            <a:rPr lang="en-IN" sz="1400"/>
            <a:t>• Laboratory Technicians show</a:t>
          </a:r>
          <a:br>
            <a:rPr lang="en-IN" sz="1400"/>
          </a:br>
          <a:r>
            <a:rPr lang="en-IN" sz="1400"/>
            <a:t>the highest turnover (62)</a:t>
          </a:r>
          <a:br>
            <a:rPr lang="en-IN" sz="1400"/>
          </a:br>
          <a:br>
            <a:rPr lang="en-IN" sz="1400"/>
          </a:br>
          <a:r>
            <a:rPr lang="en-IN" sz="1400"/>
            <a:t>• Young employees are most</a:t>
          </a:r>
          <a:br>
            <a:rPr lang="en-IN" sz="1400"/>
          </a:br>
          <a:r>
            <a:rPr lang="en-IN" sz="1400"/>
            <a:t>likely to leave (91)</a:t>
          </a:r>
          <a:br>
            <a:rPr lang="en-IN" sz="1400"/>
          </a:br>
          <a:br>
            <a:rPr lang="en-IN" sz="1400"/>
          </a:br>
          <a:r>
            <a:rPr lang="en-IN" sz="1400"/>
            <a:t>• Low-income employees account</a:t>
          </a:r>
          <a:br>
            <a:rPr lang="en-IN" sz="1400"/>
          </a:br>
          <a:r>
            <a:rPr lang="en-IN" sz="1400"/>
            <a:t>for the largest attrition group</a:t>
          </a:r>
          <a:r>
            <a:rPr lang="en-IN" sz="1400" baseline="0"/>
            <a:t> </a:t>
          </a:r>
          <a:r>
            <a:rPr lang="en-IN" sz="1400"/>
            <a:t>(113 employees)</a:t>
          </a:r>
          <a:br>
            <a:rPr lang="en-IN" sz="1400"/>
          </a:br>
          <a:br>
            <a:rPr lang="en-IN" sz="1400"/>
          </a:br>
          <a:r>
            <a:rPr lang="en-IN" sz="1400"/>
            <a:t>• Overtime workers represent</a:t>
          </a:r>
          <a:br>
            <a:rPr lang="en-IN" sz="1400"/>
          </a:br>
          <a:r>
            <a:rPr lang="en-IN" sz="1400"/>
            <a:t>54% of total attrition</a:t>
          </a:r>
          <a:br>
            <a:rPr lang="en-IN" sz="1400"/>
          </a:br>
          <a:br>
            <a:rPr lang="en-IN" sz="1400"/>
          </a:br>
          <a:r>
            <a:rPr lang="en-IN" sz="1400"/>
            <a:t>• High-Risk Group:</a:t>
          </a:r>
          <a:br>
            <a:rPr lang="en-IN" sz="1400"/>
          </a:br>
          <a:r>
            <a:rPr lang="en-IN" sz="1400"/>
            <a:t>Young + Low Income Employees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ali" refreshedDate="46189.958913425929" createdVersion="8" refreshedVersion="8" minRefreshableVersion="3" recordCount="1470" xr:uid="{82CB87C5-A830-42AF-90F7-BBE35B42C820}">
  <cacheSource type="worksheet">
    <worksheetSource name="Table1"/>
  </cacheSource>
  <cacheFields count="38">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ount="2">
        <n v="1"/>
        <n v="0"/>
      </sharedItems>
    </cacheField>
    <cacheField name="Age Group" numFmtId="0">
      <sharedItems count="4">
        <s v="Experienced"/>
        <s v="Mid Career"/>
        <s v="Young"/>
        <s v="Senior"/>
      </sharedItems>
    </cacheField>
    <cacheField name="Income Group" numFmtId="0">
      <sharedItems count="3">
        <s v="Medium Income"/>
        <s v="Low Income"/>
        <s v="High Income"/>
      </sharedItems>
    </cacheField>
  </cacheFields>
  <extLst>
    <ext xmlns:x14="http://schemas.microsoft.com/office/spreadsheetml/2009/9/main" uri="{725AE2AE-9491-48be-B2B4-4EB974FC3084}">
      <x14:pivotCacheDefinition pivotCacheId="767292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s v="Female"/>
    <n v="94"/>
    <n v="3"/>
    <n v="2"/>
    <x v="0"/>
    <n v="4"/>
    <s v="Single"/>
    <n v="5993"/>
    <n v="19479"/>
    <n v="8"/>
    <s v="Y"/>
    <x v="0"/>
    <n v="11"/>
    <n v="3"/>
    <n v="1"/>
    <n v="80"/>
    <n v="0"/>
    <n v="8"/>
    <n v="0"/>
    <n v="1"/>
    <n v="6"/>
    <n v="4"/>
    <n v="0"/>
    <n v="5"/>
    <x v="0"/>
    <x v="0"/>
    <x v="0"/>
  </r>
  <r>
    <n v="49"/>
    <x v="1"/>
    <s v="Travel_Frequently"/>
    <n v="279"/>
    <x v="1"/>
    <n v="8"/>
    <n v="1"/>
    <s v="Life Sciences"/>
    <n v="1"/>
    <n v="2"/>
    <n v="3"/>
    <s v="Male"/>
    <n v="61"/>
    <n v="2"/>
    <n v="2"/>
    <x v="1"/>
    <n v="2"/>
    <s v="Married"/>
    <n v="5130"/>
    <n v="24907"/>
    <n v="1"/>
    <s v="Y"/>
    <x v="1"/>
    <n v="23"/>
    <n v="4"/>
    <n v="4"/>
    <n v="80"/>
    <n v="1"/>
    <n v="10"/>
    <n v="3"/>
    <n v="3"/>
    <n v="10"/>
    <n v="7"/>
    <n v="1"/>
    <n v="7"/>
    <x v="1"/>
    <x v="0"/>
    <x v="0"/>
  </r>
  <r>
    <n v="37"/>
    <x v="0"/>
    <s v="Travel_Rarely"/>
    <n v="1373"/>
    <x v="1"/>
    <n v="2"/>
    <n v="2"/>
    <s v="Other"/>
    <n v="1"/>
    <n v="4"/>
    <n v="4"/>
    <s v="Male"/>
    <n v="92"/>
    <n v="2"/>
    <n v="1"/>
    <x v="2"/>
    <n v="3"/>
    <s v="Single"/>
    <n v="2090"/>
    <n v="2396"/>
    <n v="6"/>
    <s v="Y"/>
    <x v="0"/>
    <n v="15"/>
    <n v="3"/>
    <n v="2"/>
    <n v="80"/>
    <n v="0"/>
    <n v="7"/>
    <n v="3"/>
    <n v="3"/>
    <n v="0"/>
    <n v="0"/>
    <n v="0"/>
    <n v="0"/>
    <x v="0"/>
    <x v="1"/>
    <x v="1"/>
  </r>
  <r>
    <n v="33"/>
    <x v="1"/>
    <s v="Travel_Frequently"/>
    <n v="1392"/>
    <x v="1"/>
    <n v="3"/>
    <n v="4"/>
    <s v="Life Sciences"/>
    <n v="1"/>
    <n v="5"/>
    <n v="4"/>
    <s v="Female"/>
    <n v="56"/>
    <n v="3"/>
    <n v="1"/>
    <x v="1"/>
    <n v="3"/>
    <s v="Married"/>
    <n v="2909"/>
    <n v="23159"/>
    <n v="1"/>
    <s v="Y"/>
    <x v="0"/>
    <n v="11"/>
    <n v="3"/>
    <n v="3"/>
    <n v="80"/>
    <n v="0"/>
    <n v="8"/>
    <n v="3"/>
    <n v="3"/>
    <n v="8"/>
    <n v="7"/>
    <n v="3"/>
    <n v="0"/>
    <x v="1"/>
    <x v="1"/>
    <x v="1"/>
  </r>
  <r>
    <n v="27"/>
    <x v="1"/>
    <s v="Travel_Rarely"/>
    <n v="591"/>
    <x v="1"/>
    <n v="2"/>
    <n v="1"/>
    <s v="Medical"/>
    <n v="1"/>
    <n v="7"/>
    <n v="1"/>
    <s v="Male"/>
    <n v="40"/>
    <n v="3"/>
    <n v="1"/>
    <x v="2"/>
    <n v="2"/>
    <s v="Married"/>
    <n v="3468"/>
    <n v="16632"/>
    <n v="9"/>
    <s v="Y"/>
    <x v="1"/>
    <n v="12"/>
    <n v="3"/>
    <n v="4"/>
    <n v="80"/>
    <n v="1"/>
    <n v="6"/>
    <n v="3"/>
    <n v="3"/>
    <n v="2"/>
    <n v="2"/>
    <n v="2"/>
    <n v="2"/>
    <x v="1"/>
    <x v="2"/>
    <x v="0"/>
  </r>
  <r>
    <n v="32"/>
    <x v="1"/>
    <s v="Travel_Frequently"/>
    <n v="1005"/>
    <x v="1"/>
    <n v="2"/>
    <n v="2"/>
    <s v="Life Sciences"/>
    <n v="1"/>
    <n v="8"/>
    <n v="4"/>
    <s v="Male"/>
    <n v="79"/>
    <n v="3"/>
    <n v="1"/>
    <x v="2"/>
    <n v="4"/>
    <s v="Single"/>
    <n v="3068"/>
    <n v="11864"/>
    <n v="0"/>
    <s v="Y"/>
    <x v="1"/>
    <n v="13"/>
    <n v="3"/>
    <n v="3"/>
    <n v="80"/>
    <n v="0"/>
    <n v="8"/>
    <n v="2"/>
    <n v="2"/>
    <n v="7"/>
    <n v="7"/>
    <n v="3"/>
    <n v="6"/>
    <x v="1"/>
    <x v="1"/>
    <x v="0"/>
  </r>
  <r>
    <n v="59"/>
    <x v="1"/>
    <s v="Travel_Rarely"/>
    <n v="1324"/>
    <x v="1"/>
    <n v="3"/>
    <n v="3"/>
    <s v="Medical"/>
    <n v="1"/>
    <n v="10"/>
    <n v="3"/>
    <s v="Female"/>
    <n v="81"/>
    <n v="4"/>
    <n v="1"/>
    <x v="2"/>
    <n v="1"/>
    <s v="Married"/>
    <n v="2670"/>
    <n v="9964"/>
    <n v="4"/>
    <s v="Y"/>
    <x v="0"/>
    <n v="20"/>
    <n v="4"/>
    <n v="1"/>
    <n v="80"/>
    <n v="3"/>
    <n v="12"/>
    <n v="3"/>
    <n v="2"/>
    <n v="1"/>
    <n v="0"/>
    <n v="0"/>
    <n v="0"/>
    <x v="1"/>
    <x v="3"/>
    <x v="1"/>
  </r>
  <r>
    <n v="30"/>
    <x v="1"/>
    <s v="Travel_Rarely"/>
    <n v="1358"/>
    <x v="1"/>
    <n v="24"/>
    <n v="1"/>
    <s v="Life Sciences"/>
    <n v="1"/>
    <n v="11"/>
    <n v="4"/>
    <s v="Male"/>
    <n v="67"/>
    <n v="3"/>
    <n v="1"/>
    <x v="2"/>
    <n v="3"/>
    <s v="Divorced"/>
    <n v="2693"/>
    <n v="13335"/>
    <n v="1"/>
    <s v="Y"/>
    <x v="1"/>
    <n v="22"/>
    <n v="4"/>
    <n v="2"/>
    <n v="80"/>
    <n v="1"/>
    <n v="1"/>
    <n v="2"/>
    <n v="3"/>
    <n v="1"/>
    <n v="0"/>
    <n v="0"/>
    <n v="0"/>
    <x v="1"/>
    <x v="1"/>
    <x v="1"/>
  </r>
  <r>
    <n v="38"/>
    <x v="1"/>
    <s v="Travel_Frequently"/>
    <n v="216"/>
    <x v="1"/>
    <n v="23"/>
    <n v="3"/>
    <s v="Life Sciences"/>
    <n v="1"/>
    <n v="12"/>
    <n v="4"/>
    <s v="Male"/>
    <n v="44"/>
    <n v="2"/>
    <n v="3"/>
    <x v="3"/>
    <n v="3"/>
    <s v="Single"/>
    <n v="9526"/>
    <n v="8787"/>
    <n v="0"/>
    <s v="Y"/>
    <x v="1"/>
    <n v="21"/>
    <n v="4"/>
    <n v="2"/>
    <n v="80"/>
    <n v="0"/>
    <n v="10"/>
    <n v="2"/>
    <n v="3"/>
    <n v="9"/>
    <n v="7"/>
    <n v="1"/>
    <n v="8"/>
    <x v="1"/>
    <x v="1"/>
    <x v="2"/>
  </r>
  <r>
    <n v="36"/>
    <x v="1"/>
    <s v="Travel_Rarely"/>
    <n v="1299"/>
    <x v="1"/>
    <n v="27"/>
    <n v="3"/>
    <s v="Medical"/>
    <n v="1"/>
    <n v="13"/>
    <n v="3"/>
    <s v="Male"/>
    <n v="94"/>
    <n v="3"/>
    <n v="2"/>
    <x v="4"/>
    <n v="3"/>
    <s v="Married"/>
    <n v="5237"/>
    <n v="16577"/>
    <n v="6"/>
    <s v="Y"/>
    <x v="1"/>
    <n v="13"/>
    <n v="3"/>
    <n v="2"/>
    <n v="80"/>
    <n v="2"/>
    <n v="17"/>
    <n v="3"/>
    <n v="2"/>
    <n v="7"/>
    <n v="7"/>
    <n v="7"/>
    <n v="7"/>
    <x v="1"/>
    <x v="1"/>
    <x v="0"/>
  </r>
  <r>
    <n v="35"/>
    <x v="1"/>
    <s v="Travel_Rarely"/>
    <n v="809"/>
    <x v="1"/>
    <n v="16"/>
    <n v="3"/>
    <s v="Medical"/>
    <n v="1"/>
    <n v="14"/>
    <n v="1"/>
    <s v="Male"/>
    <n v="84"/>
    <n v="4"/>
    <n v="1"/>
    <x v="2"/>
    <n v="2"/>
    <s v="Married"/>
    <n v="2426"/>
    <n v="16479"/>
    <n v="0"/>
    <s v="Y"/>
    <x v="1"/>
    <n v="13"/>
    <n v="3"/>
    <n v="3"/>
    <n v="80"/>
    <n v="1"/>
    <n v="6"/>
    <n v="5"/>
    <n v="3"/>
    <n v="5"/>
    <n v="4"/>
    <n v="0"/>
    <n v="3"/>
    <x v="1"/>
    <x v="1"/>
    <x v="1"/>
  </r>
  <r>
    <n v="29"/>
    <x v="1"/>
    <s v="Travel_Rarely"/>
    <n v="153"/>
    <x v="1"/>
    <n v="15"/>
    <n v="2"/>
    <s v="Life Sciences"/>
    <n v="1"/>
    <n v="15"/>
    <n v="4"/>
    <s v="Female"/>
    <n v="49"/>
    <n v="2"/>
    <n v="2"/>
    <x v="2"/>
    <n v="3"/>
    <s v="Single"/>
    <n v="4193"/>
    <n v="12682"/>
    <n v="0"/>
    <s v="Y"/>
    <x v="0"/>
    <n v="12"/>
    <n v="3"/>
    <n v="4"/>
    <n v="80"/>
    <n v="0"/>
    <n v="10"/>
    <n v="3"/>
    <n v="3"/>
    <n v="9"/>
    <n v="5"/>
    <n v="0"/>
    <n v="8"/>
    <x v="1"/>
    <x v="2"/>
    <x v="0"/>
  </r>
  <r>
    <n v="31"/>
    <x v="1"/>
    <s v="Travel_Rarely"/>
    <n v="670"/>
    <x v="1"/>
    <n v="26"/>
    <n v="1"/>
    <s v="Life Sciences"/>
    <n v="1"/>
    <n v="16"/>
    <n v="1"/>
    <s v="Male"/>
    <n v="31"/>
    <n v="3"/>
    <n v="1"/>
    <x v="1"/>
    <n v="3"/>
    <s v="Divorced"/>
    <n v="2911"/>
    <n v="15170"/>
    <n v="1"/>
    <s v="Y"/>
    <x v="1"/>
    <n v="17"/>
    <n v="3"/>
    <n v="4"/>
    <n v="80"/>
    <n v="1"/>
    <n v="5"/>
    <n v="1"/>
    <n v="2"/>
    <n v="5"/>
    <n v="2"/>
    <n v="4"/>
    <n v="3"/>
    <x v="1"/>
    <x v="1"/>
    <x v="1"/>
  </r>
  <r>
    <n v="34"/>
    <x v="1"/>
    <s v="Travel_Rarely"/>
    <n v="1346"/>
    <x v="1"/>
    <n v="19"/>
    <n v="2"/>
    <s v="Medical"/>
    <n v="1"/>
    <n v="18"/>
    <n v="2"/>
    <s v="Male"/>
    <n v="93"/>
    <n v="3"/>
    <n v="1"/>
    <x v="2"/>
    <n v="4"/>
    <s v="Divorced"/>
    <n v="2661"/>
    <n v="8758"/>
    <n v="0"/>
    <s v="Y"/>
    <x v="1"/>
    <n v="11"/>
    <n v="3"/>
    <n v="3"/>
    <n v="80"/>
    <n v="1"/>
    <n v="3"/>
    <n v="2"/>
    <n v="3"/>
    <n v="2"/>
    <n v="2"/>
    <n v="1"/>
    <n v="2"/>
    <x v="1"/>
    <x v="1"/>
    <x v="1"/>
  </r>
  <r>
    <n v="28"/>
    <x v="0"/>
    <s v="Travel_Rarely"/>
    <n v="103"/>
    <x v="1"/>
    <n v="24"/>
    <n v="3"/>
    <s v="Life Sciences"/>
    <n v="1"/>
    <n v="19"/>
    <n v="3"/>
    <s v="Male"/>
    <n v="50"/>
    <n v="2"/>
    <n v="1"/>
    <x v="2"/>
    <n v="3"/>
    <s v="Single"/>
    <n v="2028"/>
    <n v="12947"/>
    <n v="5"/>
    <s v="Y"/>
    <x v="0"/>
    <n v="14"/>
    <n v="3"/>
    <n v="2"/>
    <n v="80"/>
    <n v="0"/>
    <n v="6"/>
    <n v="4"/>
    <n v="3"/>
    <n v="4"/>
    <n v="2"/>
    <n v="0"/>
    <n v="3"/>
    <x v="0"/>
    <x v="2"/>
    <x v="1"/>
  </r>
  <r>
    <n v="29"/>
    <x v="1"/>
    <s v="Travel_Rarely"/>
    <n v="1389"/>
    <x v="1"/>
    <n v="21"/>
    <n v="4"/>
    <s v="Life Sciences"/>
    <n v="1"/>
    <n v="20"/>
    <n v="2"/>
    <s v="Female"/>
    <n v="51"/>
    <n v="4"/>
    <n v="3"/>
    <x v="3"/>
    <n v="1"/>
    <s v="Divorced"/>
    <n v="9980"/>
    <n v="10195"/>
    <n v="1"/>
    <s v="Y"/>
    <x v="1"/>
    <n v="11"/>
    <n v="3"/>
    <n v="3"/>
    <n v="80"/>
    <n v="1"/>
    <n v="10"/>
    <n v="1"/>
    <n v="3"/>
    <n v="10"/>
    <n v="9"/>
    <n v="8"/>
    <n v="8"/>
    <x v="1"/>
    <x v="2"/>
    <x v="2"/>
  </r>
  <r>
    <n v="32"/>
    <x v="1"/>
    <s v="Travel_Rarely"/>
    <n v="334"/>
    <x v="1"/>
    <n v="5"/>
    <n v="2"/>
    <s v="Life Sciences"/>
    <n v="1"/>
    <n v="21"/>
    <n v="1"/>
    <s v="Male"/>
    <n v="80"/>
    <n v="4"/>
    <n v="1"/>
    <x v="1"/>
    <n v="2"/>
    <s v="Divorced"/>
    <n v="3298"/>
    <n v="15053"/>
    <n v="0"/>
    <s v="Y"/>
    <x v="0"/>
    <n v="12"/>
    <n v="3"/>
    <n v="4"/>
    <n v="80"/>
    <n v="2"/>
    <n v="7"/>
    <n v="5"/>
    <n v="2"/>
    <n v="6"/>
    <n v="2"/>
    <n v="0"/>
    <n v="5"/>
    <x v="1"/>
    <x v="1"/>
    <x v="0"/>
  </r>
  <r>
    <n v="22"/>
    <x v="1"/>
    <s v="Non-Travel"/>
    <n v="1123"/>
    <x v="1"/>
    <n v="16"/>
    <n v="2"/>
    <s v="Medical"/>
    <n v="1"/>
    <n v="22"/>
    <n v="4"/>
    <s v="Male"/>
    <n v="96"/>
    <n v="4"/>
    <n v="1"/>
    <x v="2"/>
    <n v="4"/>
    <s v="Divorced"/>
    <n v="2935"/>
    <n v="7324"/>
    <n v="1"/>
    <s v="Y"/>
    <x v="0"/>
    <n v="13"/>
    <n v="3"/>
    <n v="2"/>
    <n v="80"/>
    <n v="2"/>
    <n v="1"/>
    <n v="2"/>
    <n v="2"/>
    <n v="1"/>
    <n v="0"/>
    <n v="0"/>
    <n v="0"/>
    <x v="1"/>
    <x v="2"/>
    <x v="1"/>
  </r>
  <r>
    <n v="53"/>
    <x v="1"/>
    <s v="Travel_Rarely"/>
    <n v="1219"/>
    <x v="0"/>
    <n v="2"/>
    <n v="4"/>
    <s v="Life Sciences"/>
    <n v="1"/>
    <n v="23"/>
    <n v="1"/>
    <s v="Female"/>
    <n v="78"/>
    <n v="2"/>
    <n v="4"/>
    <x v="5"/>
    <n v="4"/>
    <s v="Married"/>
    <n v="15427"/>
    <n v="22021"/>
    <n v="2"/>
    <s v="Y"/>
    <x v="1"/>
    <n v="16"/>
    <n v="3"/>
    <n v="3"/>
    <n v="80"/>
    <n v="0"/>
    <n v="31"/>
    <n v="3"/>
    <n v="3"/>
    <n v="25"/>
    <n v="8"/>
    <n v="3"/>
    <n v="7"/>
    <x v="1"/>
    <x v="3"/>
    <x v="2"/>
  </r>
  <r>
    <n v="38"/>
    <x v="1"/>
    <s v="Travel_Rarely"/>
    <n v="371"/>
    <x v="1"/>
    <n v="2"/>
    <n v="3"/>
    <s v="Life Sciences"/>
    <n v="1"/>
    <n v="24"/>
    <n v="4"/>
    <s v="Male"/>
    <n v="45"/>
    <n v="3"/>
    <n v="1"/>
    <x v="1"/>
    <n v="4"/>
    <s v="Single"/>
    <n v="3944"/>
    <n v="4306"/>
    <n v="5"/>
    <s v="Y"/>
    <x v="0"/>
    <n v="11"/>
    <n v="3"/>
    <n v="3"/>
    <n v="80"/>
    <n v="0"/>
    <n v="6"/>
    <n v="3"/>
    <n v="3"/>
    <n v="3"/>
    <n v="2"/>
    <n v="1"/>
    <n v="2"/>
    <x v="1"/>
    <x v="1"/>
    <x v="0"/>
  </r>
  <r>
    <n v="24"/>
    <x v="1"/>
    <s v="Non-Travel"/>
    <n v="673"/>
    <x v="1"/>
    <n v="11"/>
    <n v="2"/>
    <s v="Other"/>
    <n v="1"/>
    <n v="26"/>
    <n v="1"/>
    <s v="Female"/>
    <n v="96"/>
    <n v="4"/>
    <n v="2"/>
    <x v="3"/>
    <n v="3"/>
    <s v="Divorced"/>
    <n v="4011"/>
    <n v="8232"/>
    <n v="0"/>
    <s v="Y"/>
    <x v="1"/>
    <n v="18"/>
    <n v="3"/>
    <n v="4"/>
    <n v="80"/>
    <n v="1"/>
    <n v="5"/>
    <n v="5"/>
    <n v="2"/>
    <n v="4"/>
    <n v="2"/>
    <n v="1"/>
    <n v="3"/>
    <x v="1"/>
    <x v="2"/>
    <x v="0"/>
  </r>
  <r>
    <n v="36"/>
    <x v="0"/>
    <s v="Travel_Rarely"/>
    <n v="1218"/>
    <x v="0"/>
    <n v="9"/>
    <n v="4"/>
    <s v="Life Sciences"/>
    <n v="1"/>
    <n v="27"/>
    <n v="3"/>
    <s v="Male"/>
    <n v="82"/>
    <n v="2"/>
    <n v="1"/>
    <x v="6"/>
    <n v="1"/>
    <s v="Single"/>
    <n v="3407"/>
    <n v="6986"/>
    <n v="7"/>
    <s v="Y"/>
    <x v="1"/>
    <n v="23"/>
    <n v="4"/>
    <n v="2"/>
    <n v="80"/>
    <n v="0"/>
    <n v="10"/>
    <n v="4"/>
    <n v="3"/>
    <n v="5"/>
    <n v="3"/>
    <n v="0"/>
    <n v="3"/>
    <x v="0"/>
    <x v="1"/>
    <x v="0"/>
  </r>
  <r>
    <n v="34"/>
    <x v="1"/>
    <s v="Travel_Rarely"/>
    <n v="419"/>
    <x v="1"/>
    <n v="7"/>
    <n v="4"/>
    <s v="Life Sciences"/>
    <n v="1"/>
    <n v="28"/>
    <n v="1"/>
    <s v="Female"/>
    <n v="53"/>
    <n v="3"/>
    <n v="3"/>
    <x v="7"/>
    <n v="2"/>
    <s v="Single"/>
    <n v="11994"/>
    <n v="21293"/>
    <n v="0"/>
    <s v="Y"/>
    <x v="1"/>
    <n v="11"/>
    <n v="3"/>
    <n v="3"/>
    <n v="80"/>
    <n v="0"/>
    <n v="13"/>
    <n v="4"/>
    <n v="3"/>
    <n v="12"/>
    <n v="6"/>
    <n v="2"/>
    <n v="11"/>
    <x v="1"/>
    <x v="1"/>
    <x v="2"/>
  </r>
  <r>
    <n v="21"/>
    <x v="1"/>
    <s v="Travel_Rarely"/>
    <n v="391"/>
    <x v="1"/>
    <n v="15"/>
    <n v="2"/>
    <s v="Life Sciences"/>
    <n v="1"/>
    <n v="30"/>
    <n v="3"/>
    <s v="Male"/>
    <n v="96"/>
    <n v="3"/>
    <n v="1"/>
    <x v="1"/>
    <n v="4"/>
    <s v="Single"/>
    <n v="1232"/>
    <n v="19281"/>
    <n v="1"/>
    <s v="Y"/>
    <x v="1"/>
    <n v="14"/>
    <n v="3"/>
    <n v="4"/>
    <n v="80"/>
    <n v="0"/>
    <n v="0"/>
    <n v="6"/>
    <n v="3"/>
    <n v="0"/>
    <n v="0"/>
    <n v="0"/>
    <n v="0"/>
    <x v="1"/>
    <x v="2"/>
    <x v="1"/>
  </r>
  <r>
    <n v="34"/>
    <x v="0"/>
    <s v="Travel_Rarely"/>
    <n v="699"/>
    <x v="1"/>
    <n v="6"/>
    <n v="1"/>
    <s v="Medical"/>
    <n v="1"/>
    <n v="31"/>
    <n v="2"/>
    <s v="Male"/>
    <n v="83"/>
    <n v="3"/>
    <n v="1"/>
    <x v="1"/>
    <n v="1"/>
    <s v="Single"/>
    <n v="2960"/>
    <n v="17102"/>
    <n v="2"/>
    <s v="Y"/>
    <x v="1"/>
    <n v="11"/>
    <n v="3"/>
    <n v="3"/>
    <n v="80"/>
    <n v="0"/>
    <n v="8"/>
    <n v="2"/>
    <n v="3"/>
    <n v="4"/>
    <n v="2"/>
    <n v="1"/>
    <n v="3"/>
    <x v="0"/>
    <x v="1"/>
    <x v="1"/>
  </r>
  <r>
    <n v="53"/>
    <x v="1"/>
    <s v="Travel_Rarely"/>
    <n v="1282"/>
    <x v="1"/>
    <n v="5"/>
    <n v="3"/>
    <s v="Other"/>
    <n v="1"/>
    <n v="32"/>
    <n v="3"/>
    <s v="Female"/>
    <n v="58"/>
    <n v="3"/>
    <n v="5"/>
    <x v="5"/>
    <n v="3"/>
    <s v="Divorced"/>
    <n v="19094"/>
    <n v="10735"/>
    <n v="4"/>
    <s v="Y"/>
    <x v="1"/>
    <n v="11"/>
    <n v="3"/>
    <n v="4"/>
    <n v="80"/>
    <n v="1"/>
    <n v="26"/>
    <n v="3"/>
    <n v="2"/>
    <n v="14"/>
    <n v="13"/>
    <n v="4"/>
    <n v="8"/>
    <x v="1"/>
    <x v="3"/>
    <x v="2"/>
  </r>
  <r>
    <n v="32"/>
    <x v="0"/>
    <s v="Travel_Frequently"/>
    <n v="1125"/>
    <x v="1"/>
    <n v="16"/>
    <n v="1"/>
    <s v="Life Sciences"/>
    <n v="1"/>
    <n v="33"/>
    <n v="2"/>
    <s v="Female"/>
    <n v="72"/>
    <n v="1"/>
    <n v="1"/>
    <x v="1"/>
    <n v="1"/>
    <s v="Single"/>
    <n v="3919"/>
    <n v="4681"/>
    <n v="1"/>
    <s v="Y"/>
    <x v="0"/>
    <n v="22"/>
    <n v="4"/>
    <n v="2"/>
    <n v="80"/>
    <n v="0"/>
    <n v="10"/>
    <n v="5"/>
    <n v="3"/>
    <n v="10"/>
    <n v="2"/>
    <n v="6"/>
    <n v="7"/>
    <x v="0"/>
    <x v="1"/>
    <x v="0"/>
  </r>
  <r>
    <n v="42"/>
    <x v="1"/>
    <s v="Travel_Rarely"/>
    <n v="691"/>
    <x v="0"/>
    <n v="8"/>
    <n v="4"/>
    <s v="Marketing"/>
    <n v="1"/>
    <n v="35"/>
    <n v="3"/>
    <s v="Male"/>
    <n v="48"/>
    <n v="3"/>
    <n v="2"/>
    <x v="0"/>
    <n v="2"/>
    <s v="Married"/>
    <n v="6825"/>
    <n v="21173"/>
    <n v="0"/>
    <s v="Y"/>
    <x v="1"/>
    <n v="11"/>
    <n v="3"/>
    <n v="4"/>
    <n v="80"/>
    <n v="1"/>
    <n v="10"/>
    <n v="2"/>
    <n v="3"/>
    <n v="9"/>
    <n v="7"/>
    <n v="4"/>
    <n v="2"/>
    <x v="1"/>
    <x v="0"/>
    <x v="0"/>
  </r>
  <r>
    <n v="44"/>
    <x v="1"/>
    <s v="Travel_Rarely"/>
    <n v="477"/>
    <x v="1"/>
    <n v="7"/>
    <n v="4"/>
    <s v="Medical"/>
    <n v="1"/>
    <n v="36"/>
    <n v="1"/>
    <s v="Female"/>
    <n v="42"/>
    <n v="2"/>
    <n v="3"/>
    <x v="4"/>
    <n v="4"/>
    <s v="Married"/>
    <n v="10248"/>
    <n v="2094"/>
    <n v="3"/>
    <s v="Y"/>
    <x v="1"/>
    <n v="14"/>
    <n v="3"/>
    <n v="4"/>
    <n v="80"/>
    <n v="1"/>
    <n v="24"/>
    <n v="4"/>
    <n v="3"/>
    <n v="22"/>
    <n v="6"/>
    <n v="5"/>
    <n v="17"/>
    <x v="1"/>
    <x v="0"/>
    <x v="2"/>
  </r>
  <r>
    <n v="46"/>
    <x v="1"/>
    <s v="Travel_Rarely"/>
    <n v="705"/>
    <x v="0"/>
    <n v="2"/>
    <n v="4"/>
    <s v="Marketing"/>
    <n v="1"/>
    <n v="38"/>
    <n v="2"/>
    <s v="Female"/>
    <n v="83"/>
    <n v="3"/>
    <n v="5"/>
    <x v="5"/>
    <n v="1"/>
    <s v="Single"/>
    <n v="18947"/>
    <n v="22822"/>
    <n v="3"/>
    <s v="Y"/>
    <x v="1"/>
    <n v="12"/>
    <n v="3"/>
    <n v="4"/>
    <n v="80"/>
    <n v="0"/>
    <n v="22"/>
    <n v="2"/>
    <n v="2"/>
    <n v="2"/>
    <n v="2"/>
    <n v="2"/>
    <n v="1"/>
    <x v="1"/>
    <x v="0"/>
    <x v="2"/>
  </r>
  <r>
    <n v="33"/>
    <x v="1"/>
    <s v="Travel_Rarely"/>
    <n v="924"/>
    <x v="1"/>
    <n v="2"/>
    <n v="3"/>
    <s v="Medical"/>
    <n v="1"/>
    <n v="39"/>
    <n v="3"/>
    <s v="Male"/>
    <n v="78"/>
    <n v="3"/>
    <n v="1"/>
    <x v="2"/>
    <n v="4"/>
    <s v="Single"/>
    <n v="2496"/>
    <n v="6670"/>
    <n v="4"/>
    <s v="Y"/>
    <x v="1"/>
    <n v="11"/>
    <n v="3"/>
    <n v="4"/>
    <n v="80"/>
    <n v="0"/>
    <n v="7"/>
    <n v="3"/>
    <n v="3"/>
    <n v="1"/>
    <n v="1"/>
    <n v="0"/>
    <n v="0"/>
    <x v="1"/>
    <x v="1"/>
    <x v="1"/>
  </r>
  <r>
    <n v="44"/>
    <x v="1"/>
    <s v="Travel_Rarely"/>
    <n v="1459"/>
    <x v="1"/>
    <n v="10"/>
    <n v="4"/>
    <s v="Other"/>
    <n v="1"/>
    <n v="40"/>
    <n v="4"/>
    <s v="Male"/>
    <n v="41"/>
    <n v="3"/>
    <n v="2"/>
    <x v="4"/>
    <n v="4"/>
    <s v="Married"/>
    <n v="6465"/>
    <n v="19121"/>
    <n v="2"/>
    <s v="Y"/>
    <x v="0"/>
    <n v="13"/>
    <n v="3"/>
    <n v="4"/>
    <n v="80"/>
    <n v="0"/>
    <n v="9"/>
    <n v="5"/>
    <n v="4"/>
    <n v="4"/>
    <n v="2"/>
    <n v="1"/>
    <n v="3"/>
    <x v="1"/>
    <x v="0"/>
    <x v="0"/>
  </r>
  <r>
    <n v="30"/>
    <x v="1"/>
    <s v="Travel_Rarely"/>
    <n v="125"/>
    <x v="1"/>
    <n v="9"/>
    <n v="2"/>
    <s v="Medical"/>
    <n v="1"/>
    <n v="41"/>
    <n v="4"/>
    <s v="Male"/>
    <n v="83"/>
    <n v="2"/>
    <n v="1"/>
    <x v="2"/>
    <n v="3"/>
    <s v="Single"/>
    <n v="2206"/>
    <n v="16117"/>
    <n v="1"/>
    <s v="Y"/>
    <x v="1"/>
    <n v="13"/>
    <n v="3"/>
    <n v="1"/>
    <n v="80"/>
    <n v="0"/>
    <n v="10"/>
    <n v="5"/>
    <n v="3"/>
    <n v="10"/>
    <n v="0"/>
    <n v="1"/>
    <n v="8"/>
    <x v="1"/>
    <x v="1"/>
    <x v="1"/>
  </r>
  <r>
    <n v="39"/>
    <x v="0"/>
    <s v="Travel_Rarely"/>
    <n v="895"/>
    <x v="0"/>
    <n v="5"/>
    <n v="3"/>
    <s v="Technical Degree"/>
    <n v="1"/>
    <n v="42"/>
    <n v="4"/>
    <s v="Male"/>
    <n v="56"/>
    <n v="3"/>
    <n v="2"/>
    <x v="6"/>
    <n v="4"/>
    <s v="Married"/>
    <n v="2086"/>
    <n v="3335"/>
    <n v="3"/>
    <s v="Y"/>
    <x v="1"/>
    <n v="14"/>
    <n v="3"/>
    <n v="3"/>
    <n v="80"/>
    <n v="1"/>
    <n v="19"/>
    <n v="6"/>
    <n v="4"/>
    <n v="1"/>
    <n v="0"/>
    <n v="0"/>
    <n v="0"/>
    <x v="0"/>
    <x v="1"/>
    <x v="1"/>
  </r>
  <r>
    <n v="24"/>
    <x v="0"/>
    <s v="Travel_Rarely"/>
    <n v="813"/>
    <x v="1"/>
    <n v="1"/>
    <n v="3"/>
    <s v="Medical"/>
    <n v="1"/>
    <n v="45"/>
    <n v="2"/>
    <s v="Male"/>
    <n v="61"/>
    <n v="3"/>
    <n v="1"/>
    <x v="1"/>
    <n v="4"/>
    <s v="Married"/>
    <n v="2293"/>
    <n v="3020"/>
    <n v="2"/>
    <s v="Y"/>
    <x v="0"/>
    <n v="16"/>
    <n v="3"/>
    <n v="1"/>
    <n v="80"/>
    <n v="1"/>
    <n v="6"/>
    <n v="2"/>
    <n v="2"/>
    <n v="2"/>
    <n v="0"/>
    <n v="2"/>
    <n v="0"/>
    <x v="0"/>
    <x v="2"/>
    <x v="1"/>
  </r>
  <r>
    <n v="43"/>
    <x v="1"/>
    <s v="Travel_Rarely"/>
    <n v="1273"/>
    <x v="1"/>
    <n v="2"/>
    <n v="2"/>
    <s v="Medical"/>
    <n v="1"/>
    <n v="46"/>
    <n v="4"/>
    <s v="Female"/>
    <n v="72"/>
    <n v="4"/>
    <n v="1"/>
    <x v="1"/>
    <n v="3"/>
    <s v="Divorced"/>
    <n v="2645"/>
    <n v="21923"/>
    <n v="1"/>
    <s v="Y"/>
    <x v="1"/>
    <n v="12"/>
    <n v="3"/>
    <n v="4"/>
    <n v="80"/>
    <n v="2"/>
    <n v="6"/>
    <n v="3"/>
    <n v="2"/>
    <n v="5"/>
    <n v="3"/>
    <n v="1"/>
    <n v="4"/>
    <x v="1"/>
    <x v="0"/>
    <x v="1"/>
  </r>
  <r>
    <n v="50"/>
    <x v="0"/>
    <s v="Travel_Rarely"/>
    <n v="869"/>
    <x v="0"/>
    <n v="3"/>
    <n v="2"/>
    <s v="Marketing"/>
    <n v="1"/>
    <n v="47"/>
    <n v="1"/>
    <s v="Male"/>
    <n v="86"/>
    <n v="2"/>
    <n v="1"/>
    <x v="6"/>
    <n v="3"/>
    <s v="Married"/>
    <n v="2683"/>
    <n v="3810"/>
    <n v="1"/>
    <s v="Y"/>
    <x v="0"/>
    <n v="14"/>
    <n v="3"/>
    <n v="3"/>
    <n v="80"/>
    <n v="0"/>
    <n v="3"/>
    <n v="2"/>
    <n v="3"/>
    <n v="3"/>
    <n v="2"/>
    <n v="0"/>
    <n v="2"/>
    <x v="0"/>
    <x v="3"/>
    <x v="1"/>
  </r>
  <r>
    <n v="35"/>
    <x v="1"/>
    <s v="Travel_Rarely"/>
    <n v="890"/>
    <x v="0"/>
    <n v="2"/>
    <n v="3"/>
    <s v="Marketing"/>
    <n v="1"/>
    <n v="49"/>
    <n v="4"/>
    <s v="Female"/>
    <n v="97"/>
    <n v="3"/>
    <n v="1"/>
    <x v="6"/>
    <n v="4"/>
    <s v="Married"/>
    <n v="2014"/>
    <n v="9687"/>
    <n v="1"/>
    <s v="Y"/>
    <x v="1"/>
    <n v="13"/>
    <n v="3"/>
    <n v="1"/>
    <n v="80"/>
    <n v="0"/>
    <n v="2"/>
    <n v="3"/>
    <n v="3"/>
    <n v="2"/>
    <n v="2"/>
    <n v="2"/>
    <n v="2"/>
    <x v="1"/>
    <x v="1"/>
    <x v="1"/>
  </r>
  <r>
    <n v="36"/>
    <x v="1"/>
    <s v="Travel_Rarely"/>
    <n v="852"/>
    <x v="1"/>
    <n v="5"/>
    <n v="4"/>
    <s v="Life Sciences"/>
    <n v="1"/>
    <n v="51"/>
    <n v="2"/>
    <s v="Female"/>
    <n v="82"/>
    <n v="2"/>
    <n v="1"/>
    <x v="1"/>
    <n v="1"/>
    <s v="Married"/>
    <n v="3419"/>
    <n v="13072"/>
    <n v="9"/>
    <s v="Y"/>
    <x v="0"/>
    <n v="14"/>
    <n v="3"/>
    <n v="4"/>
    <n v="80"/>
    <n v="1"/>
    <n v="6"/>
    <n v="3"/>
    <n v="4"/>
    <n v="1"/>
    <n v="1"/>
    <n v="0"/>
    <n v="0"/>
    <x v="1"/>
    <x v="1"/>
    <x v="0"/>
  </r>
  <r>
    <n v="33"/>
    <x v="1"/>
    <s v="Travel_Frequently"/>
    <n v="1141"/>
    <x v="0"/>
    <n v="1"/>
    <n v="3"/>
    <s v="Life Sciences"/>
    <n v="1"/>
    <n v="52"/>
    <n v="3"/>
    <s v="Female"/>
    <n v="42"/>
    <n v="4"/>
    <n v="2"/>
    <x v="0"/>
    <n v="1"/>
    <s v="Married"/>
    <n v="5376"/>
    <n v="3193"/>
    <n v="2"/>
    <s v="Y"/>
    <x v="1"/>
    <n v="19"/>
    <n v="3"/>
    <n v="1"/>
    <n v="80"/>
    <n v="2"/>
    <n v="10"/>
    <n v="3"/>
    <n v="3"/>
    <n v="5"/>
    <n v="3"/>
    <n v="1"/>
    <n v="3"/>
    <x v="1"/>
    <x v="1"/>
    <x v="0"/>
  </r>
  <r>
    <n v="35"/>
    <x v="1"/>
    <s v="Travel_Rarely"/>
    <n v="464"/>
    <x v="1"/>
    <n v="4"/>
    <n v="2"/>
    <s v="Other"/>
    <n v="1"/>
    <n v="53"/>
    <n v="3"/>
    <s v="Male"/>
    <n v="75"/>
    <n v="3"/>
    <n v="1"/>
    <x v="2"/>
    <n v="4"/>
    <s v="Divorced"/>
    <n v="1951"/>
    <n v="10910"/>
    <n v="1"/>
    <s v="Y"/>
    <x v="1"/>
    <n v="12"/>
    <n v="3"/>
    <n v="3"/>
    <n v="80"/>
    <n v="1"/>
    <n v="1"/>
    <n v="3"/>
    <n v="3"/>
    <n v="1"/>
    <n v="0"/>
    <n v="0"/>
    <n v="0"/>
    <x v="1"/>
    <x v="1"/>
    <x v="1"/>
  </r>
  <r>
    <n v="27"/>
    <x v="1"/>
    <s v="Travel_Rarely"/>
    <n v="1240"/>
    <x v="1"/>
    <n v="2"/>
    <n v="4"/>
    <s v="Life Sciences"/>
    <n v="1"/>
    <n v="54"/>
    <n v="4"/>
    <s v="Female"/>
    <n v="33"/>
    <n v="3"/>
    <n v="1"/>
    <x v="2"/>
    <n v="1"/>
    <s v="Divorced"/>
    <n v="2341"/>
    <n v="19715"/>
    <n v="1"/>
    <s v="Y"/>
    <x v="1"/>
    <n v="13"/>
    <n v="3"/>
    <n v="4"/>
    <n v="80"/>
    <n v="1"/>
    <n v="1"/>
    <n v="6"/>
    <n v="3"/>
    <n v="1"/>
    <n v="0"/>
    <n v="0"/>
    <n v="0"/>
    <x v="1"/>
    <x v="2"/>
    <x v="1"/>
  </r>
  <r>
    <n v="26"/>
    <x v="0"/>
    <s v="Travel_Rarely"/>
    <n v="1357"/>
    <x v="1"/>
    <n v="25"/>
    <n v="3"/>
    <s v="Life Sciences"/>
    <n v="1"/>
    <n v="55"/>
    <n v="1"/>
    <s v="Male"/>
    <n v="48"/>
    <n v="1"/>
    <n v="1"/>
    <x v="2"/>
    <n v="3"/>
    <s v="Single"/>
    <n v="2293"/>
    <n v="10558"/>
    <n v="1"/>
    <s v="Y"/>
    <x v="1"/>
    <n v="12"/>
    <n v="3"/>
    <n v="3"/>
    <n v="80"/>
    <n v="0"/>
    <n v="1"/>
    <n v="2"/>
    <n v="2"/>
    <n v="1"/>
    <n v="0"/>
    <n v="0"/>
    <n v="1"/>
    <x v="0"/>
    <x v="2"/>
    <x v="1"/>
  </r>
  <r>
    <n v="27"/>
    <x v="1"/>
    <s v="Travel_Frequently"/>
    <n v="994"/>
    <x v="0"/>
    <n v="8"/>
    <n v="3"/>
    <s v="Life Sciences"/>
    <n v="1"/>
    <n v="56"/>
    <n v="4"/>
    <s v="Male"/>
    <n v="37"/>
    <n v="3"/>
    <n v="3"/>
    <x v="0"/>
    <n v="3"/>
    <s v="Single"/>
    <n v="8726"/>
    <n v="2975"/>
    <n v="1"/>
    <s v="Y"/>
    <x v="1"/>
    <n v="15"/>
    <n v="3"/>
    <n v="4"/>
    <n v="80"/>
    <n v="0"/>
    <n v="9"/>
    <n v="0"/>
    <n v="3"/>
    <n v="9"/>
    <n v="8"/>
    <n v="1"/>
    <n v="7"/>
    <x v="1"/>
    <x v="2"/>
    <x v="2"/>
  </r>
  <r>
    <n v="30"/>
    <x v="1"/>
    <s v="Travel_Frequently"/>
    <n v="721"/>
    <x v="1"/>
    <n v="1"/>
    <n v="2"/>
    <s v="Medical"/>
    <n v="1"/>
    <n v="57"/>
    <n v="3"/>
    <s v="Female"/>
    <n v="58"/>
    <n v="3"/>
    <n v="2"/>
    <x v="2"/>
    <n v="4"/>
    <s v="Single"/>
    <n v="4011"/>
    <n v="10781"/>
    <n v="1"/>
    <s v="Y"/>
    <x v="1"/>
    <n v="23"/>
    <n v="4"/>
    <n v="4"/>
    <n v="80"/>
    <n v="0"/>
    <n v="12"/>
    <n v="2"/>
    <n v="3"/>
    <n v="12"/>
    <n v="8"/>
    <n v="3"/>
    <n v="7"/>
    <x v="1"/>
    <x v="1"/>
    <x v="0"/>
  </r>
  <r>
    <n v="41"/>
    <x v="0"/>
    <s v="Travel_Rarely"/>
    <n v="1360"/>
    <x v="1"/>
    <n v="12"/>
    <n v="3"/>
    <s v="Technical Degree"/>
    <n v="1"/>
    <n v="58"/>
    <n v="2"/>
    <s v="Female"/>
    <n v="49"/>
    <n v="3"/>
    <n v="5"/>
    <x v="7"/>
    <n v="3"/>
    <s v="Married"/>
    <n v="19545"/>
    <n v="16280"/>
    <n v="1"/>
    <s v="Y"/>
    <x v="1"/>
    <n v="12"/>
    <n v="3"/>
    <n v="4"/>
    <n v="80"/>
    <n v="0"/>
    <n v="23"/>
    <n v="0"/>
    <n v="3"/>
    <n v="22"/>
    <n v="15"/>
    <n v="15"/>
    <n v="8"/>
    <x v="0"/>
    <x v="0"/>
    <x v="2"/>
  </r>
  <r>
    <n v="34"/>
    <x v="1"/>
    <s v="Non-Travel"/>
    <n v="1065"/>
    <x v="0"/>
    <n v="23"/>
    <n v="4"/>
    <s v="Marketing"/>
    <n v="1"/>
    <n v="60"/>
    <n v="2"/>
    <s v="Male"/>
    <n v="72"/>
    <n v="3"/>
    <n v="2"/>
    <x v="0"/>
    <n v="3"/>
    <s v="Single"/>
    <n v="4568"/>
    <n v="10034"/>
    <n v="0"/>
    <s v="Y"/>
    <x v="1"/>
    <n v="20"/>
    <n v="4"/>
    <n v="3"/>
    <n v="80"/>
    <n v="0"/>
    <n v="10"/>
    <n v="2"/>
    <n v="3"/>
    <n v="9"/>
    <n v="5"/>
    <n v="8"/>
    <n v="7"/>
    <x v="1"/>
    <x v="1"/>
    <x v="0"/>
  </r>
  <r>
    <n v="37"/>
    <x v="1"/>
    <s v="Travel_Rarely"/>
    <n v="408"/>
    <x v="1"/>
    <n v="19"/>
    <n v="2"/>
    <s v="Life Sciences"/>
    <n v="1"/>
    <n v="61"/>
    <n v="2"/>
    <s v="Male"/>
    <n v="73"/>
    <n v="3"/>
    <n v="1"/>
    <x v="1"/>
    <n v="2"/>
    <s v="Married"/>
    <n v="3022"/>
    <n v="10227"/>
    <n v="4"/>
    <s v="Y"/>
    <x v="1"/>
    <n v="21"/>
    <n v="4"/>
    <n v="1"/>
    <n v="80"/>
    <n v="0"/>
    <n v="8"/>
    <n v="1"/>
    <n v="3"/>
    <n v="1"/>
    <n v="0"/>
    <n v="0"/>
    <n v="0"/>
    <x v="1"/>
    <x v="1"/>
    <x v="0"/>
  </r>
  <r>
    <n v="46"/>
    <x v="1"/>
    <s v="Travel_Frequently"/>
    <n v="1211"/>
    <x v="0"/>
    <n v="5"/>
    <n v="4"/>
    <s v="Marketing"/>
    <n v="1"/>
    <n v="62"/>
    <n v="1"/>
    <s v="Male"/>
    <n v="98"/>
    <n v="3"/>
    <n v="2"/>
    <x v="0"/>
    <n v="4"/>
    <s v="Single"/>
    <n v="5772"/>
    <n v="20445"/>
    <n v="4"/>
    <s v="Y"/>
    <x v="0"/>
    <n v="21"/>
    <n v="4"/>
    <n v="3"/>
    <n v="80"/>
    <n v="0"/>
    <n v="14"/>
    <n v="4"/>
    <n v="3"/>
    <n v="9"/>
    <n v="6"/>
    <n v="0"/>
    <n v="8"/>
    <x v="1"/>
    <x v="0"/>
    <x v="0"/>
  </r>
  <r>
    <n v="35"/>
    <x v="1"/>
    <s v="Travel_Rarely"/>
    <n v="1229"/>
    <x v="1"/>
    <n v="8"/>
    <n v="1"/>
    <s v="Life Sciences"/>
    <n v="1"/>
    <n v="63"/>
    <n v="4"/>
    <s v="Male"/>
    <n v="36"/>
    <n v="4"/>
    <n v="1"/>
    <x v="2"/>
    <n v="4"/>
    <s v="Married"/>
    <n v="2269"/>
    <n v="4892"/>
    <n v="1"/>
    <s v="Y"/>
    <x v="1"/>
    <n v="19"/>
    <n v="3"/>
    <n v="4"/>
    <n v="80"/>
    <n v="0"/>
    <n v="1"/>
    <n v="2"/>
    <n v="3"/>
    <n v="1"/>
    <n v="0"/>
    <n v="0"/>
    <n v="1"/>
    <x v="1"/>
    <x v="1"/>
    <x v="1"/>
  </r>
  <r>
    <n v="48"/>
    <x v="0"/>
    <s v="Travel_Rarely"/>
    <n v="626"/>
    <x v="1"/>
    <n v="1"/>
    <n v="2"/>
    <s v="Life Sciences"/>
    <n v="1"/>
    <n v="64"/>
    <n v="1"/>
    <s v="Male"/>
    <n v="98"/>
    <n v="2"/>
    <n v="3"/>
    <x v="2"/>
    <n v="3"/>
    <s v="Single"/>
    <n v="5381"/>
    <n v="19294"/>
    <n v="9"/>
    <s v="Y"/>
    <x v="0"/>
    <n v="13"/>
    <n v="3"/>
    <n v="4"/>
    <n v="80"/>
    <n v="0"/>
    <n v="23"/>
    <n v="2"/>
    <n v="3"/>
    <n v="1"/>
    <n v="0"/>
    <n v="0"/>
    <n v="0"/>
    <x v="0"/>
    <x v="0"/>
    <x v="0"/>
  </r>
  <r>
    <n v="28"/>
    <x v="0"/>
    <s v="Travel_Rarely"/>
    <n v="1434"/>
    <x v="1"/>
    <n v="5"/>
    <n v="4"/>
    <s v="Technical Degree"/>
    <n v="1"/>
    <n v="65"/>
    <n v="3"/>
    <s v="Male"/>
    <n v="50"/>
    <n v="3"/>
    <n v="1"/>
    <x v="2"/>
    <n v="3"/>
    <s v="Single"/>
    <n v="3441"/>
    <n v="11179"/>
    <n v="1"/>
    <s v="Y"/>
    <x v="0"/>
    <n v="13"/>
    <n v="3"/>
    <n v="3"/>
    <n v="80"/>
    <n v="0"/>
    <n v="2"/>
    <n v="3"/>
    <n v="2"/>
    <n v="2"/>
    <n v="2"/>
    <n v="2"/>
    <n v="2"/>
    <x v="0"/>
    <x v="2"/>
    <x v="0"/>
  </r>
  <r>
    <n v="44"/>
    <x v="1"/>
    <s v="Travel_Rarely"/>
    <n v="1488"/>
    <x v="0"/>
    <n v="1"/>
    <n v="5"/>
    <s v="Marketing"/>
    <n v="1"/>
    <n v="68"/>
    <n v="2"/>
    <s v="Female"/>
    <n v="75"/>
    <n v="3"/>
    <n v="2"/>
    <x v="0"/>
    <n v="1"/>
    <s v="Divorced"/>
    <n v="5454"/>
    <n v="4009"/>
    <n v="5"/>
    <s v="Y"/>
    <x v="0"/>
    <n v="21"/>
    <n v="4"/>
    <n v="3"/>
    <n v="80"/>
    <n v="1"/>
    <n v="9"/>
    <n v="2"/>
    <n v="2"/>
    <n v="4"/>
    <n v="3"/>
    <n v="1"/>
    <n v="3"/>
    <x v="1"/>
    <x v="0"/>
    <x v="0"/>
  </r>
  <r>
    <n v="35"/>
    <x v="1"/>
    <s v="Non-Travel"/>
    <n v="1097"/>
    <x v="1"/>
    <n v="11"/>
    <n v="2"/>
    <s v="Medical"/>
    <n v="1"/>
    <n v="70"/>
    <n v="3"/>
    <s v="Male"/>
    <n v="79"/>
    <n v="2"/>
    <n v="3"/>
    <x v="4"/>
    <n v="1"/>
    <s v="Married"/>
    <n v="9884"/>
    <n v="8302"/>
    <n v="2"/>
    <s v="Y"/>
    <x v="0"/>
    <n v="13"/>
    <n v="3"/>
    <n v="3"/>
    <n v="80"/>
    <n v="1"/>
    <n v="10"/>
    <n v="3"/>
    <n v="3"/>
    <n v="4"/>
    <n v="0"/>
    <n v="2"/>
    <n v="3"/>
    <x v="1"/>
    <x v="1"/>
    <x v="2"/>
  </r>
  <r>
    <n v="26"/>
    <x v="1"/>
    <s v="Travel_Rarely"/>
    <n v="1443"/>
    <x v="0"/>
    <n v="23"/>
    <n v="3"/>
    <s v="Marketing"/>
    <n v="1"/>
    <n v="72"/>
    <n v="3"/>
    <s v="Female"/>
    <n v="47"/>
    <n v="2"/>
    <n v="2"/>
    <x v="0"/>
    <n v="4"/>
    <s v="Married"/>
    <n v="4157"/>
    <n v="21436"/>
    <n v="7"/>
    <s v="Y"/>
    <x v="0"/>
    <n v="19"/>
    <n v="3"/>
    <n v="3"/>
    <n v="80"/>
    <n v="1"/>
    <n v="5"/>
    <n v="2"/>
    <n v="2"/>
    <n v="2"/>
    <n v="2"/>
    <n v="0"/>
    <n v="0"/>
    <x v="1"/>
    <x v="2"/>
    <x v="0"/>
  </r>
  <r>
    <n v="33"/>
    <x v="1"/>
    <s v="Travel_Frequently"/>
    <n v="515"/>
    <x v="1"/>
    <n v="1"/>
    <n v="2"/>
    <s v="Life Sciences"/>
    <n v="1"/>
    <n v="73"/>
    <n v="1"/>
    <s v="Female"/>
    <n v="98"/>
    <n v="3"/>
    <n v="3"/>
    <x v="7"/>
    <n v="4"/>
    <s v="Single"/>
    <n v="13458"/>
    <n v="15146"/>
    <n v="1"/>
    <s v="Y"/>
    <x v="0"/>
    <n v="12"/>
    <n v="3"/>
    <n v="3"/>
    <n v="80"/>
    <n v="0"/>
    <n v="15"/>
    <n v="1"/>
    <n v="3"/>
    <n v="15"/>
    <n v="14"/>
    <n v="8"/>
    <n v="12"/>
    <x v="1"/>
    <x v="1"/>
    <x v="2"/>
  </r>
  <r>
    <n v="35"/>
    <x v="1"/>
    <s v="Travel_Frequently"/>
    <n v="853"/>
    <x v="0"/>
    <n v="18"/>
    <n v="5"/>
    <s v="Life Sciences"/>
    <n v="1"/>
    <n v="74"/>
    <n v="2"/>
    <s v="Male"/>
    <n v="71"/>
    <n v="3"/>
    <n v="3"/>
    <x v="0"/>
    <n v="1"/>
    <s v="Married"/>
    <n v="9069"/>
    <n v="11031"/>
    <n v="1"/>
    <s v="Y"/>
    <x v="1"/>
    <n v="22"/>
    <n v="4"/>
    <n v="4"/>
    <n v="80"/>
    <n v="1"/>
    <n v="9"/>
    <n v="3"/>
    <n v="2"/>
    <n v="9"/>
    <n v="8"/>
    <n v="1"/>
    <n v="8"/>
    <x v="1"/>
    <x v="1"/>
    <x v="2"/>
  </r>
  <r>
    <n v="35"/>
    <x v="1"/>
    <s v="Travel_Rarely"/>
    <n v="1142"/>
    <x v="1"/>
    <n v="23"/>
    <n v="4"/>
    <s v="Medical"/>
    <n v="1"/>
    <n v="75"/>
    <n v="3"/>
    <s v="Female"/>
    <n v="30"/>
    <n v="3"/>
    <n v="1"/>
    <x v="2"/>
    <n v="1"/>
    <s v="Married"/>
    <n v="4014"/>
    <n v="16002"/>
    <n v="3"/>
    <s v="Y"/>
    <x v="0"/>
    <n v="15"/>
    <n v="3"/>
    <n v="3"/>
    <n v="80"/>
    <n v="1"/>
    <n v="4"/>
    <n v="3"/>
    <n v="3"/>
    <n v="2"/>
    <n v="2"/>
    <n v="2"/>
    <n v="2"/>
    <x v="1"/>
    <x v="1"/>
    <x v="0"/>
  </r>
  <r>
    <n v="31"/>
    <x v="1"/>
    <s v="Travel_Rarely"/>
    <n v="655"/>
    <x v="1"/>
    <n v="7"/>
    <n v="4"/>
    <s v="Life Sciences"/>
    <n v="1"/>
    <n v="76"/>
    <n v="4"/>
    <s v="Male"/>
    <n v="48"/>
    <n v="3"/>
    <n v="2"/>
    <x v="2"/>
    <n v="4"/>
    <s v="Divorced"/>
    <n v="5915"/>
    <n v="9528"/>
    <n v="3"/>
    <s v="Y"/>
    <x v="1"/>
    <n v="22"/>
    <n v="4"/>
    <n v="4"/>
    <n v="80"/>
    <n v="1"/>
    <n v="10"/>
    <n v="3"/>
    <n v="2"/>
    <n v="7"/>
    <n v="7"/>
    <n v="1"/>
    <n v="7"/>
    <x v="1"/>
    <x v="1"/>
    <x v="0"/>
  </r>
  <r>
    <n v="37"/>
    <x v="1"/>
    <s v="Travel_Rarely"/>
    <n v="1115"/>
    <x v="1"/>
    <n v="1"/>
    <n v="4"/>
    <s v="Life Sciences"/>
    <n v="1"/>
    <n v="77"/>
    <n v="1"/>
    <s v="Male"/>
    <n v="51"/>
    <n v="2"/>
    <n v="2"/>
    <x v="3"/>
    <n v="3"/>
    <s v="Divorced"/>
    <n v="5993"/>
    <n v="2689"/>
    <n v="1"/>
    <s v="Y"/>
    <x v="1"/>
    <n v="18"/>
    <n v="3"/>
    <n v="3"/>
    <n v="80"/>
    <n v="1"/>
    <n v="7"/>
    <n v="2"/>
    <n v="4"/>
    <n v="7"/>
    <n v="5"/>
    <n v="0"/>
    <n v="7"/>
    <x v="1"/>
    <x v="1"/>
    <x v="0"/>
  </r>
  <r>
    <n v="32"/>
    <x v="1"/>
    <s v="Travel_Rarely"/>
    <n v="427"/>
    <x v="1"/>
    <n v="1"/>
    <n v="3"/>
    <s v="Medical"/>
    <n v="1"/>
    <n v="78"/>
    <n v="1"/>
    <s v="Male"/>
    <n v="33"/>
    <n v="3"/>
    <n v="2"/>
    <x v="3"/>
    <n v="4"/>
    <s v="Married"/>
    <n v="6162"/>
    <n v="10877"/>
    <n v="1"/>
    <s v="Y"/>
    <x v="0"/>
    <n v="22"/>
    <n v="4"/>
    <n v="2"/>
    <n v="80"/>
    <n v="1"/>
    <n v="9"/>
    <n v="3"/>
    <n v="3"/>
    <n v="9"/>
    <n v="8"/>
    <n v="7"/>
    <n v="8"/>
    <x v="1"/>
    <x v="1"/>
    <x v="0"/>
  </r>
  <r>
    <n v="38"/>
    <x v="1"/>
    <s v="Travel_Frequently"/>
    <n v="653"/>
    <x v="1"/>
    <n v="29"/>
    <n v="5"/>
    <s v="Life Sciences"/>
    <n v="1"/>
    <n v="79"/>
    <n v="4"/>
    <s v="Female"/>
    <n v="50"/>
    <n v="3"/>
    <n v="2"/>
    <x v="2"/>
    <n v="4"/>
    <s v="Single"/>
    <n v="2406"/>
    <n v="5456"/>
    <n v="1"/>
    <s v="Y"/>
    <x v="1"/>
    <n v="11"/>
    <n v="3"/>
    <n v="4"/>
    <n v="80"/>
    <n v="0"/>
    <n v="10"/>
    <n v="2"/>
    <n v="3"/>
    <n v="10"/>
    <n v="3"/>
    <n v="9"/>
    <n v="9"/>
    <x v="1"/>
    <x v="1"/>
    <x v="1"/>
  </r>
  <r>
    <n v="50"/>
    <x v="1"/>
    <s v="Travel_Rarely"/>
    <n v="989"/>
    <x v="1"/>
    <n v="7"/>
    <n v="2"/>
    <s v="Medical"/>
    <n v="1"/>
    <n v="80"/>
    <n v="2"/>
    <s v="Female"/>
    <n v="43"/>
    <n v="2"/>
    <n v="5"/>
    <x v="7"/>
    <n v="3"/>
    <s v="Divorced"/>
    <n v="18740"/>
    <n v="16701"/>
    <n v="5"/>
    <s v="Y"/>
    <x v="0"/>
    <n v="12"/>
    <n v="3"/>
    <n v="4"/>
    <n v="80"/>
    <n v="1"/>
    <n v="29"/>
    <n v="2"/>
    <n v="2"/>
    <n v="27"/>
    <n v="3"/>
    <n v="13"/>
    <n v="8"/>
    <x v="1"/>
    <x v="3"/>
    <x v="2"/>
  </r>
  <r>
    <n v="59"/>
    <x v="1"/>
    <s v="Travel_Rarely"/>
    <n v="1435"/>
    <x v="0"/>
    <n v="25"/>
    <n v="3"/>
    <s v="Life Sciences"/>
    <n v="1"/>
    <n v="81"/>
    <n v="1"/>
    <s v="Female"/>
    <n v="99"/>
    <n v="3"/>
    <n v="3"/>
    <x v="0"/>
    <n v="1"/>
    <s v="Single"/>
    <n v="7637"/>
    <n v="2354"/>
    <n v="7"/>
    <s v="Y"/>
    <x v="1"/>
    <n v="11"/>
    <n v="3"/>
    <n v="4"/>
    <n v="80"/>
    <n v="0"/>
    <n v="28"/>
    <n v="3"/>
    <n v="2"/>
    <n v="21"/>
    <n v="16"/>
    <n v="7"/>
    <n v="9"/>
    <x v="1"/>
    <x v="3"/>
    <x v="2"/>
  </r>
  <r>
    <n v="36"/>
    <x v="1"/>
    <s v="Travel_Rarely"/>
    <n v="1223"/>
    <x v="1"/>
    <n v="8"/>
    <n v="3"/>
    <s v="Technical Degree"/>
    <n v="1"/>
    <n v="83"/>
    <n v="3"/>
    <s v="Female"/>
    <n v="59"/>
    <n v="3"/>
    <n v="3"/>
    <x v="4"/>
    <n v="3"/>
    <s v="Divorced"/>
    <n v="10096"/>
    <n v="8202"/>
    <n v="1"/>
    <s v="Y"/>
    <x v="1"/>
    <n v="13"/>
    <n v="3"/>
    <n v="2"/>
    <n v="80"/>
    <n v="3"/>
    <n v="17"/>
    <n v="2"/>
    <n v="3"/>
    <n v="17"/>
    <n v="14"/>
    <n v="12"/>
    <n v="8"/>
    <x v="1"/>
    <x v="1"/>
    <x v="2"/>
  </r>
  <r>
    <n v="55"/>
    <x v="1"/>
    <s v="Travel_Rarely"/>
    <n v="836"/>
    <x v="1"/>
    <n v="8"/>
    <n v="3"/>
    <s v="Medical"/>
    <n v="1"/>
    <n v="84"/>
    <n v="4"/>
    <s v="Female"/>
    <n v="33"/>
    <n v="3"/>
    <n v="4"/>
    <x v="5"/>
    <n v="3"/>
    <s v="Divorced"/>
    <n v="14756"/>
    <n v="19730"/>
    <n v="2"/>
    <s v="Y"/>
    <x v="0"/>
    <n v="14"/>
    <n v="3"/>
    <n v="3"/>
    <n v="80"/>
    <n v="3"/>
    <n v="21"/>
    <n v="2"/>
    <n v="3"/>
    <n v="5"/>
    <n v="0"/>
    <n v="0"/>
    <n v="2"/>
    <x v="1"/>
    <x v="3"/>
    <x v="2"/>
  </r>
  <r>
    <n v="36"/>
    <x v="1"/>
    <s v="Travel_Frequently"/>
    <n v="1195"/>
    <x v="1"/>
    <n v="11"/>
    <n v="3"/>
    <s v="Life Sciences"/>
    <n v="1"/>
    <n v="85"/>
    <n v="2"/>
    <s v="Male"/>
    <n v="95"/>
    <n v="2"/>
    <n v="2"/>
    <x v="3"/>
    <n v="2"/>
    <s v="Single"/>
    <n v="6499"/>
    <n v="22656"/>
    <n v="1"/>
    <s v="Y"/>
    <x v="1"/>
    <n v="13"/>
    <n v="3"/>
    <n v="3"/>
    <n v="80"/>
    <n v="0"/>
    <n v="6"/>
    <n v="3"/>
    <n v="3"/>
    <n v="6"/>
    <n v="5"/>
    <n v="0"/>
    <n v="3"/>
    <x v="1"/>
    <x v="1"/>
    <x v="0"/>
  </r>
  <r>
    <n v="45"/>
    <x v="1"/>
    <s v="Travel_Rarely"/>
    <n v="1339"/>
    <x v="1"/>
    <n v="7"/>
    <n v="3"/>
    <s v="Life Sciences"/>
    <n v="1"/>
    <n v="86"/>
    <n v="2"/>
    <s v="Male"/>
    <n v="59"/>
    <n v="3"/>
    <n v="3"/>
    <x v="1"/>
    <n v="1"/>
    <s v="Divorced"/>
    <n v="9724"/>
    <n v="18787"/>
    <n v="2"/>
    <s v="Y"/>
    <x v="1"/>
    <n v="17"/>
    <n v="3"/>
    <n v="3"/>
    <n v="80"/>
    <n v="1"/>
    <n v="25"/>
    <n v="2"/>
    <n v="3"/>
    <n v="1"/>
    <n v="0"/>
    <n v="0"/>
    <n v="0"/>
    <x v="1"/>
    <x v="0"/>
    <x v="2"/>
  </r>
  <r>
    <n v="35"/>
    <x v="1"/>
    <s v="Travel_Frequently"/>
    <n v="664"/>
    <x v="1"/>
    <n v="1"/>
    <n v="3"/>
    <s v="Medical"/>
    <n v="1"/>
    <n v="88"/>
    <n v="2"/>
    <s v="Male"/>
    <n v="79"/>
    <n v="3"/>
    <n v="1"/>
    <x v="1"/>
    <n v="1"/>
    <s v="Married"/>
    <n v="2194"/>
    <n v="5868"/>
    <n v="4"/>
    <s v="Y"/>
    <x v="1"/>
    <n v="13"/>
    <n v="3"/>
    <n v="4"/>
    <n v="80"/>
    <n v="1"/>
    <n v="5"/>
    <n v="2"/>
    <n v="2"/>
    <n v="3"/>
    <n v="2"/>
    <n v="1"/>
    <n v="2"/>
    <x v="1"/>
    <x v="1"/>
    <x v="1"/>
  </r>
  <r>
    <n v="36"/>
    <x v="0"/>
    <s v="Travel_Rarely"/>
    <n v="318"/>
    <x v="1"/>
    <n v="9"/>
    <n v="3"/>
    <s v="Medical"/>
    <n v="1"/>
    <n v="90"/>
    <n v="4"/>
    <s v="Male"/>
    <n v="79"/>
    <n v="2"/>
    <n v="1"/>
    <x v="1"/>
    <n v="3"/>
    <s v="Married"/>
    <n v="3388"/>
    <n v="21777"/>
    <n v="0"/>
    <s v="Y"/>
    <x v="0"/>
    <n v="17"/>
    <n v="3"/>
    <n v="1"/>
    <n v="80"/>
    <n v="1"/>
    <n v="2"/>
    <n v="0"/>
    <n v="2"/>
    <n v="1"/>
    <n v="0"/>
    <n v="0"/>
    <n v="0"/>
    <x v="0"/>
    <x v="1"/>
    <x v="0"/>
  </r>
  <r>
    <n v="59"/>
    <x v="1"/>
    <s v="Travel_Frequently"/>
    <n v="1225"/>
    <x v="0"/>
    <n v="1"/>
    <n v="1"/>
    <s v="Life Sciences"/>
    <n v="1"/>
    <n v="91"/>
    <n v="1"/>
    <s v="Female"/>
    <n v="57"/>
    <n v="2"/>
    <n v="2"/>
    <x v="0"/>
    <n v="3"/>
    <s v="Single"/>
    <n v="5473"/>
    <n v="24668"/>
    <n v="7"/>
    <s v="Y"/>
    <x v="1"/>
    <n v="11"/>
    <n v="3"/>
    <n v="4"/>
    <n v="80"/>
    <n v="0"/>
    <n v="20"/>
    <n v="2"/>
    <n v="2"/>
    <n v="4"/>
    <n v="3"/>
    <n v="1"/>
    <n v="3"/>
    <x v="1"/>
    <x v="3"/>
    <x v="0"/>
  </r>
  <r>
    <n v="29"/>
    <x v="1"/>
    <s v="Travel_Rarely"/>
    <n v="1328"/>
    <x v="1"/>
    <n v="2"/>
    <n v="3"/>
    <s v="Life Sciences"/>
    <n v="1"/>
    <n v="94"/>
    <n v="3"/>
    <s v="Male"/>
    <n v="76"/>
    <n v="3"/>
    <n v="1"/>
    <x v="1"/>
    <n v="2"/>
    <s v="Married"/>
    <n v="2703"/>
    <n v="4956"/>
    <n v="0"/>
    <s v="Y"/>
    <x v="1"/>
    <n v="23"/>
    <n v="4"/>
    <n v="4"/>
    <n v="80"/>
    <n v="1"/>
    <n v="6"/>
    <n v="3"/>
    <n v="3"/>
    <n v="5"/>
    <n v="4"/>
    <n v="0"/>
    <n v="4"/>
    <x v="1"/>
    <x v="2"/>
    <x v="1"/>
  </r>
  <r>
    <n v="31"/>
    <x v="1"/>
    <s v="Travel_Rarely"/>
    <n v="1082"/>
    <x v="1"/>
    <n v="1"/>
    <n v="4"/>
    <s v="Medical"/>
    <n v="1"/>
    <n v="95"/>
    <n v="3"/>
    <s v="Male"/>
    <n v="87"/>
    <n v="3"/>
    <n v="1"/>
    <x v="1"/>
    <n v="2"/>
    <s v="Single"/>
    <n v="2501"/>
    <n v="18775"/>
    <n v="1"/>
    <s v="Y"/>
    <x v="1"/>
    <n v="17"/>
    <n v="3"/>
    <n v="2"/>
    <n v="80"/>
    <n v="0"/>
    <n v="1"/>
    <n v="4"/>
    <n v="3"/>
    <n v="1"/>
    <n v="1"/>
    <n v="1"/>
    <n v="0"/>
    <x v="1"/>
    <x v="1"/>
    <x v="1"/>
  </r>
  <r>
    <n v="32"/>
    <x v="1"/>
    <s v="Travel_Rarely"/>
    <n v="548"/>
    <x v="1"/>
    <n v="1"/>
    <n v="3"/>
    <s v="Life Sciences"/>
    <n v="1"/>
    <n v="96"/>
    <n v="2"/>
    <s v="Male"/>
    <n v="66"/>
    <n v="3"/>
    <n v="2"/>
    <x v="1"/>
    <n v="2"/>
    <s v="Married"/>
    <n v="6220"/>
    <n v="7346"/>
    <n v="1"/>
    <s v="Y"/>
    <x v="1"/>
    <n v="17"/>
    <n v="3"/>
    <n v="2"/>
    <n v="80"/>
    <n v="2"/>
    <n v="10"/>
    <n v="3"/>
    <n v="3"/>
    <n v="10"/>
    <n v="4"/>
    <n v="0"/>
    <n v="9"/>
    <x v="1"/>
    <x v="1"/>
    <x v="0"/>
  </r>
  <r>
    <n v="36"/>
    <x v="1"/>
    <s v="Travel_Rarely"/>
    <n v="132"/>
    <x v="1"/>
    <n v="6"/>
    <n v="3"/>
    <s v="Life Sciences"/>
    <n v="1"/>
    <n v="97"/>
    <n v="2"/>
    <s v="Female"/>
    <n v="55"/>
    <n v="4"/>
    <n v="1"/>
    <x v="2"/>
    <n v="4"/>
    <s v="Married"/>
    <n v="3038"/>
    <n v="22002"/>
    <n v="3"/>
    <s v="Y"/>
    <x v="1"/>
    <n v="12"/>
    <n v="3"/>
    <n v="2"/>
    <n v="80"/>
    <n v="0"/>
    <n v="5"/>
    <n v="3"/>
    <n v="3"/>
    <n v="1"/>
    <n v="0"/>
    <n v="0"/>
    <n v="0"/>
    <x v="1"/>
    <x v="1"/>
    <x v="0"/>
  </r>
  <r>
    <n v="31"/>
    <x v="1"/>
    <s v="Travel_Rarely"/>
    <n v="746"/>
    <x v="1"/>
    <n v="8"/>
    <n v="4"/>
    <s v="Life Sciences"/>
    <n v="1"/>
    <n v="98"/>
    <n v="3"/>
    <s v="Female"/>
    <n v="61"/>
    <n v="3"/>
    <n v="2"/>
    <x v="3"/>
    <n v="4"/>
    <s v="Single"/>
    <n v="4424"/>
    <n v="20682"/>
    <n v="1"/>
    <s v="Y"/>
    <x v="1"/>
    <n v="23"/>
    <n v="4"/>
    <n v="4"/>
    <n v="80"/>
    <n v="0"/>
    <n v="11"/>
    <n v="2"/>
    <n v="3"/>
    <n v="11"/>
    <n v="7"/>
    <n v="1"/>
    <n v="8"/>
    <x v="1"/>
    <x v="1"/>
    <x v="0"/>
  </r>
  <r>
    <n v="35"/>
    <x v="1"/>
    <s v="Travel_Rarely"/>
    <n v="776"/>
    <x v="0"/>
    <n v="1"/>
    <n v="4"/>
    <s v="Marketing"/>
    <n v="1"/>
    <n v="100"/>
    <n v="3"/>
    <s v="Male"/>
    <n v="32"/>
    <n v="2"/>
    <n v="2"/>
    <x v="0"/>
    <n v="1"/>
    <s v="Single"/>
    <n v="4312"/>
    <n v="23016"/>
    <n v="0"/>
    <s v="Y"/>
    <x v="1"/>
    <n v="14"/>
    <n v="3"/>
    <n v="2"/>
    <n v="80"/>
    <n v="0"/>
    <n v="16"/>
    <n v="2"/>
    <n v="3"/>
    <n v="15"/>
    <n v="13"/>
    <n v="2"/>
    <n v="8"/>
    <x v="1"/>
    <x v="1"/>
    <x v="0"/>
  </r>
  <r>
    <n v="45"/>
    <x v="1"/>
    <s v="Travel_Rarely"/>
    <n v="193"/>
    <x v="1"/>
    <n v="6"/>
    <n v="4"/>
    <s v="Other"/>
    <n v="1"/>
    <n v="101"/>
    <n v="4"/>
    <s v="Male"/>
    <n v="52"/>
    <n v="3"/>
    <n v="3"/>
    <x v="7"/>
    <n v="1"/>
    <s v="Married"/>
    <n v="13245"/>
    <n v="15067"/>
    <n v="4"/>
    <s v="Y"/>
    <x v="0"/>
    <n v="14"/>
    <n v="3"/>
    <n v="2"/>
    <n v="80"/>
    <n v="0"/>
    <n v="17"/>
    <n v="3"/>
    <n v="4"/>
    <n v="0"/>
    <n v="0"/>
    <n v="0"/>
    <n v="0"/>
    <x v="1"/>
    <x v="0"/>
    <x v="2"/>
  </r>
  <r>
    <n v="37"/>
    <x v="1"/>
    <s v="Travel_Rarely"/>
    <n v="397"/>
    <x v="1"/>
    <n v="7"/>
    <n v="4"/>
    <s v="Medical"/>
    <n v="1"/>
    <n v="102"/>
    <n v="1"/>
    <s v="Male"/>
    <n v="30"/>
    <n v="3"/>
    <n v="3"/>
    <x v="7"/>
    <n v="3"/>
    <s v="Single"/>
    <n v="13664"/>
    <n v="25258"/>
    <n v="4"/>
    <s v="Y"/>
    <x v="1"/>
    <n v="13"/>
    <n v="3"/>
    <n v="1"/>
    <n v="80"/>
    <n v="0"/>
    <n v="16"/>
    <n v="3"/>
    <n v="4"/>
    <n v="5"/>
    <n v="2"/>
    <n v="0"/>
    <n v="2"/>
    <x v="1"/>
    <x v="1"/>
    <x v="2"/>
  </r>
  <r>
    <n v="46"/>
    <x v="1"/>
    <s v="Travel_Rarely"/>
    <n v="945"/>
    <x v="2"/>
    <n v="5"/>
    <n v="2"/>
    <s v="Medical"/>
    <n v="1"/>
    <n v="103"/>
    <n v="2"/>
    <s v="Male"/>
    <n v="80"/>
    <n v="3"/>
    <n v="2"/>
    <x v="8"/>
    <n v="2"/>
    <s v="Divorced"/>
    <n v="5021"/>
    <n v="10425"/>
    <n v="8"/>
    <s v="Y"/>
    <x v="0"/>
    <n v="22"/>
    <n v="4"/>
    <n v="4"/>
    <n v="80"/>
    <n v="1"/>
    <n v="16"/>
    <n v="2"/>
    <n v="3"/>
    <n v="4"/>
    <n v="2"/>
    <n v="0"/>
    <n v="2"/>
    <x v="1"/>
    <x v="0"/>
    <x v="0"/>
  </r>
  <r>
    <n v="30"/>
    <x v="1"/>
    <s v="Travel_Rarely"/>
    <n v="852"/>
    <x v="1"/>
    <n v="1"/>
    <n v="1"/>
    <s v="Life Sciences"/>
    <n v="1"/>
    <n v="104"/>
    <n v="4"/>
    <s v="Male"/>
    <n v="55"/>
    <n v="2"/>
    <n v="2"/>
    <x v="2"/>
    <n v="4"/>
    <s v="Married"/>
    <n v="5126"/>
    <n v="15998"/>
    <n v="1"/>
    <s v="Y"/>
    <x v="0"/>
    <n v="12"/>
    <n v="3"/>
    <n v="3"/>
    <n v="80"/>
    <n v="2"/>
    <n v="10"/>
    <n v="1"/>
    <n v="2"/>
    <n v="10"/>
    <n v="8"/>
    <n v="3"/>
    <n v="0"/>
    <x v="1"/>
    <x v="1"/>
    <x v="0"/>
  </r>
  <r>
    <n v="35"/>
    <x v="1"/>
    <s v="Travel_Rarely"/>
    <n v="1214"/>
    <x v="1"/>
    <n v="1"/>
    <n v="3"/>
    <s v="Medical"/>
    <n v="1"/>
    <n v="105"/>
    <n v="2"/>
    <s v="Male"/>
    <n v="30"/>
    <n v="2"/>
    <n v="1"/>
    <x v="1"/>
    <n v="3"/>
    <s v="Single"/>
    <n v="2859"/>
    <n v="26278"/>
    <n v="1"/>
    <s v="Y"/>
    <x v="1"/>
    <n v="18"/>
    <n v="3"/>
    <n v="1"/>
    <n v="80"/>
    <n v="0"/>
    <n v="6"/>
    <n v="3"/>
    <n v="3"/>
    <n v="6"/>
    <n v="4"/>
    <n v="0"/>
    <n v="4"/>
    <x v="1"/>
    <x v="1"/>
    <x v="1"/>
  </r>
  <r>
    <n v="55"/>
    <x v="1"/>
    <s v="Travel_Rarely"/>
    <n v="111"/>
    <x v="0"/>
    <n v="1"/>
    <n v="2"/>
    <s v="Life Sciences"/>
    <n v="1"/>
    <n v="106"/>
    <n v="1"/>
    <s v="Male"/>
    <n v="70"/>
    <n v="3"/>
    <n v="3"/>
    <x v="0"/>
    <n v="4"/>
    <s v="Married"/>
    <n v="10239"/>
    <n v="18092"/>
    <n v="3"/>
    <s v="Y"/>
    <x v="1"/>
    <n v="14"/>
    <n v="3"/>
    <n v="4"/>
    <n v="80"/>
    <n v="1"/>
    <n v="24"/>
    <n v="4"/>
    <n v="3"/>
    <n v="1"/>
    <n v="0"/>
    <n v="1"/>
    <n v="0"/>
    <x v="1"/>
    <x v="3"/>
    <x v="2"/>
  </r>
  <r>
    <n v="38"/>
    <x v="1"/>
    <s v="Non-Travel"/>
    <n v="573"/>
    <x v="1"/>
    <n v="6"/>
    <n v="3"/>
    <s v="Medical"/>
    <n v="1"/>
    <n v="107"/>
    <n v="2"/>
    <s v="Female"/>
    <n v="79"/>
    <n v="1"/>
    <n v="2"/>
    <x v="1"/>
    <n v="4"/>
    <s v="Divorced"/>
    <n v="5329"/>
    <n v="15717"/>
    <n v="7"/>
    <s v="Y"/>
    <x v="0"/>
    <n v="12"/>
    <n v="3"/>
    <n v="4"/>
    <n v="80"/>
    <n v="3"/>
    <n v="17"/>
    <n v="3"/>
    <n v="3"/>
    <n v="13"/>
    <n v="11"/>
    <n v="1"/>
    <n v="9"/>
    <x v="1"/>
    <x v="1"/>
    <x v="0"/>
  </r>
  <r>
    <n v="34"/>
    <x v="1"/>
    <s v="Travel_Rarely"/>
    <n v="1153"/>
    <x v="1"/>
    <n v="1"/>
    <n v="2"/>
    <s v="Medical"/>
    <n v="1"/>
    <n v="110"/>
    <n v="1"/>
    <s v="Male"/>
    <n v="94"/>
    <n v="3"/>
    <n v="2"/>
    <x v="3"/>
    <n v="2"/>
    <s v="Married"/>
    <n v="4325"/>
    <n v="17736"/>
    <n v="1"/>
    <s v="Y"/>
    <x v="1"/>
    <n v="15"/>
    <n v="3"/>
    <n v="3"/>
    <n v="80"/>
    <n v="0"/>
    <n v="5"/>
    <n v="2"/>
    <n v="3"/>
    <n v="5"/>
    <n v="2"/>
    <n v="1"/>
    <n v="3"/>
    <x v="1"/>
    <x v="1"/>
    <x v="0"/>
  </r>
  <r>
    <n v="56"/>
    <x v="1"/>
    <s v="Travel_Rarely"/>
    <n v="1400"/>
    <x v="1"/>
    <n v="7"/>
    <n v="3"/>
    <s v="Life Sciences"/>
    <n v="1"/>
    <n v="112"/>
    <n v="4"/>
    <s v="Male"/>
    <n v="49"/>
    <n v="1"/>
    <n v="3"/>
    <x v="3"/>
    <n v="4"/>
    <s v="Single"/>
    <n v="7260"/>
    <n v="21698"/>
    <n v="4"/>
    <s v="Y"/>
    <x v="1"/>
    <n v="11"/>
    <n v="3"/>
    <n v="1"/>
    <n v="80"/>
    <n v="0"/>
    <n v="37"/>
    <n v="3"/>
    <n v="2"/>
    <n v="6"/>
    <n v="4"/>
    <n v="0"/>
    <n v="2"/>
    <x v="1"/>
    <x v="3"/>
    <x v="2"/>
  </r>
  <r>
    <n v="23"/>
    <x v="1"/>
    <s v="Travel_Rarely"/>
    <n v="541"/>
    <x v="0"/>
    <n v="2"/>
    <n v="1"/>
    <s v="Technical Degree"/>
    <n v="1"/>
    <n v="113"/>
    <n v="3"/>
    <s v="Male"/>
    <n v="62"/>
    <n v="3"/>
    <n v="1"/>
    <x v="6"/>
    <n v="1"/>
    <s v="Divorced"/>
    <n v="2322"/>
    <n v="9518"/>
    <n v="3"/>
    <s v="Y"/>
    <x v="1"/>
    <n v="13"/>
    <n v="3"/>
    <n v="3"/>
    <n v="80"/>
    <n v="1"/>
    <n v="3"/>
    <n v="3"/>
    <n v="3"/>
    <n v="0"/>
    <n v="0"/>
    <n v="0"/>
    <n v="0"/>
    <x v="1"/>
    <x v="2"/>
    <x v="1"/>
  </r>
  <r>
    <n v="51"/>
    <x v="1"/>
    <s v="Travel_Rarely"/>
    <n v="432"/>
    <x v="1"/>
    <n v="9"/>
    <n v="4"/>
    <s v="Life Sciences"/>
    <n v="1"/>
    <n v="116"/>
    <n v="4"/>
    <s v="Male"/>
    <n v="96"/>
    <n v="3"/>
    <n v="1"/>
    <x v="2"/>
    <n v="4"/>
    <s v="Married"/>
    <n v="2075"/>
    <n v="18725"/>
    <n v="3"/>
    <s v="Y"/>
    <x v="1"/>
    <n v="23"/>
    <n v="4"/>
    <n v="2"/>
    <n v="80"/>
    <n v="2"/>
    <n v="10"/>
    <n v="4"/>
    <n v="3"/>
    <n v="4"/>
    <n v="2"/>
    <n v="0"/>
    <n v="3"/>
    <x v="1"/>
    <x v="3"/>
    <x v="1"/>
  </r>
  <r>
    <n v="30"/>
    <x v="1"/>
    <s v="Travel_Rarely"/>
    <n v="288"/>
    <x v="1"/>
    <n v="2"/>
    <n v="3"/>
    <s v="Life Sciences"/>
    <n v="1"/>
    <n v="117"/>
    <n v="3"/>
    <s v="Male"/>
    <n v="99"/>
    <n v="2"/>
    <n v="2"/>
    <x v="4"/>
    <n v="4"/>
    <s v="Married"/>
    <n v="4152"/>
    <n v="15830"/>
    <n v="1"/>
    <s v="Y"/>
    <x v="1"/>
    <n v="19"/>
    <n v="3"/>
    <n v="1"/>
    <n v="80"/>
    <n v="3"/>
    <n v="11"/>
    <n v="3"/>
    <n v="3"/>
    <n v="11"/>
    <n v="10"/>
    <n v="10"/>
    <n v="8"/>
    <x v="1"/>
    <x v="1"/>
    <x v="0"/>
  </r>
  <r>
    <n v="46"/>
    <x v="0"/>
    <s v="Travel_Rarely"/>
    <n v="669"/>
    <x v="0"/>
    <n v="9"/>
    <n v="2"/>
    <s v="Medical"/>
    <n v="1"/>
    <n v="118"/>
    <n v="3"/>
    <s v="Male"/>
    <n v="64"/>
    <n v="2"/>
    <n v="3"/>
    <x v="0"/>
    <n v="4"/>
    <s v="Single"/>
    <n v="9619"/>
    <n v="13596"/>
    <n v="1"/>
    <s v="Y"/>
    <x v="1"/>
    <n v="16"/>
    <n v="3"/>
    <n v="4"/>
    <n v="80"/>
    <n v="0"/>
    <n v="9"/>
    <n v="3"/>
    <n v="3"/>
    <n v="9"/>
    <n v="8"/>
    <n v="4"/>
    <n v="7"/>
    <x v="0"/>
    <x v="0"/>
    <x v="2"/>
  </r>
  <r>
    <n v="40"/>
    <x v="1"/>
    <s v="Travel_Frequently"/>
    <n v="530"/>
    <x v="1"/>
    <n v="1"/>
    <n v="4"/>
    <s v="Life Sciences"/>
    <n v="1"/>
    <n v="119"/>
    <n v="3"/>
    <s v="Male"/>
    <n v="78"/>
    <n v="2"/>
    <n v="4"/>
    <x v="4"/>
    <n v="2"/>
    <s v="Married"/>
    <n v="13503"/>
    <n v="14115"/>
    <n v="1"/>
    <s v="Y"/>
    <x v="1"/>
    <n v="22"/>
    <n v="4"/>
    <n v="4"/>
    <n v="80"/>
    <n v="1"/>
    <n v="22"/>
    <n v="3"/>
    <n v="2"/>
    <n v="22"/>
    <n v="3"/>
    <n v="11"/>
    <n v="11"/>
    <x v="1"/>
    <x v="0"/>
    <x v="2"/>
  </r>
  <r>
    <n v="51"/>
    <x v="1"/>
    <s v="Travel_Rarely"/>
    <n v="632"/>
    <x v="0"/>
    <n v="21"/>
    <n v="4"/>
    <s v="Marketing"/>
    <n v="1"/>
    <n v="120"/>
    <n v="3"/>
    <s v="Male"/>
    <n v="71"/>
    <n v="3"/>
    <n v="2"/>
    <x v="0"/>
    <n v="4"/>
    <s v="Single"/>
    <n v="5441"/>
    <n v="8423"/>
    <n v="0"/>
    <s v="Y"/>
    <x v="0"/>
    <n v="22"/>
    <n v="4"/>
    <n v="4"/>
    <n v="80"/>
    <n v="0"/>
    <n v="11"/>
    <n v="2"/>
    <n v="1"/>
    <n v="10"/>
    <n v="7"/>
    <n v="1"/>
    <n v="0"/>
    <x v="1"/>
    <x v="3"/>
    <x v="0"/>
  </r>
  <r>
    <n v="30"/>
    <x v="1"/>
    <s v="Travel_Rarely"/>
    <n v="1334"/>
    <x v="0"/>
    <n v="4"/>
    <n v="2"/>
    <s v="Medical"/>
    <n v="1"/>
    <n v="121"/>
    <n v="3"/>
    <s v="Female"/>
    <n v="63"/>
    <n v="2"/>
    <n v="2"/>
    <x v="0"/>
    <n v="2"/>
    <s v="Divorced"/>
    <n v="5209"/>
    <n v="19760"/>
    <n v="1"/>
    <s v="Y"/>
    <x v="0"/>
    <n v="12"/>
    <n v="3"/>
    <n v="2"/>
    <n v="80"/>
    <n v="3"/>
    <n v="11"/>
    <n v="4"/>
    <n v="2"/>
    <n v="11"/>
    <n v="8"/>
    <n v="2"/>
    <n v="7"/>
    <x v="1"/>
    <x v="1"/>
    <x v="0"/>
  </r>
  <r>
    <n v="46"/>
    <x v="1"/>
    <s v="Travel_Frequently"/>
    <n v="638"/>
    <x v="1"/>
    <n v="1"/>
    <n v="3"/>
    <s v="Medical"/>
    <n v="1"/>
    <n v="124"/>
    <n v="3"/>
    <s v="Male"/>
    <n v="40"/>
    <n v="2"/>
    <n v="3"/>
    <x v="4"/>
    <n v="1"/>
    <s v="Married"/>
    <n v="10673"/>
    <n v="3142"/>
    <n v="2"/>
    <s v="Y"/>
    <x v="0"/>
    <n v="13"/>
    <n v="3"/>
    <n v="3"/>
    <n v="80"/>
    <n v="1"/>
    <n v="21"/>
    <n v="5"/>
    <n v="2"/>
    <n v="10"/>
    <n v="9"/>
    <n v="9"/>
    <n v="5"/>
    <x v="1"/>
    <x v="0"/>
    <x v="2"/>
  </r>
  <r>
    <n v="32"/>
    <x v="1"/>
    <s v="Travel_Rarely"/>
    <n v="1093"/>
    <x v="0"/>
    <n v="6"/>
    <n v="4"/>
    <s v="Medical"/>
    <n v="1"/>
    <n v="125"/>
    <n v="2"/>
    <s v="Male"/>
    <n v="87"/>
    <n v="3"/>
    <n v="2"/>
    <x v="0"/>
    <n v="3"/>
    <s v="Single"/>
    <n v="5010"/>
    <n v="24301"/>
    <n v="1"/>
    <s v="Y"/>
    <x v="1"/>
    <n v="16"/>
    <n v="3"/>
    <n v="1"/>
    <n v="80"/>
    <n v="0"/>
    <n v="12"/>
    <n v="0"/>
    <n v="3"/>
    <n v="11"/>
    <n v="8"/>
    <n v="5"/>
    <n v="7"/>
    <x v="1"/>
    <x v="1"/>
    <x v="0"/>
  </r>
  <r>
    <n v="54"/>
    <x v="1"/>
    <s v="Travel_Rarely"/>
    <n v="1217"/>
    <x v="1"/>
    <n v="2"/>
    <n v="4"/>
    <s v="Technical Degree"/>
    <n v="1"/>
    <n v="126"/>
    <n v="1"/>
    <s v="Female"/>
    <n v="60"/>
    <n v="3"/>
    <n v="3"/>
    <x v="7"/>
    <n v="3"/>
    <s v="Married"/>
    <n v="13549"/>
    <n v="24001"/>
    <n v="9"/>
    <s v="Y"/>
    <x v="1"/>
    <n v="12"/>
    <n v="3"/>
    <n v="1"/>
    <n v="80"/>
    <n v="1"/>
    <n v="16"/>
    <n v="5"/>
    <n v="1"/>
    <n v="4"/>
    <n v="3"/>
    <n v="0"/>
    <n v="3"/>
    <x v="1"/>
    <x v="3"/>
    <x v="2"/>
  </r>
  <r>
    <n v="24"/>
    <x v="1"/>
    <s v="Travel_Rarely"/>
    <n v="1353"/>
    <x v="0"/>
    <n v="3"/>
    <n v="2"/>
    <s v="Other"/>
    <n v="1"/>
    <n v="128"/>
    <n v="1"/>
    <s v="Female"/>
    <n v="33"/>
    <n v="3"/>
    <n v="2"/>
    <x v="0"/>
    <n v="3"/>
    <s v="Married"/>
    <n v="4999"/>
    <n v="17519"/>
    <n v="0"/>
    <s v="Y"/>
    <x v="1"/>
    <n v="21"/>
    <n v="4"/>
    <n v="1"/>
    <n v="80"/>
    <n v="1"/>
    <n v="4"/>
    <n v="2"/>
    <n v="2"/>
    <n v="3"/>
    <n v="2"/>
    <n v="0"/>
    <n v="2"/>
    <x v="1"/>
    <x v="2"/>
    <x v="0"/>
  </r>
  <r>
    <n v="28"/>
    <x v="1"/>
    <s v="Non-Travel"/>
    <n v="120"/>
    <x v="0"/>
    <n v="4"/>
    <n v="3"/>
    <s v="Medical"/>
    <n v="1"/>
    <n v="129"/>
    <n v="2"/>
    <s v="Male"/>
    <n v="43"/>
    <n v="3"/>
    <n v="2"/>
    <x v="0"/>
    <n v="3"/>
    <s v="Married"/>
    <n v="4221"/>
    <n v="8863"/>
    <n v="1"/>
    <s v="Y"/>
    <x v="1"/>
    <n v="15"/>
    <n v="3"/>
    <n v="2"/>
    <n v="80"/>
    <n v="0"/>
    <n v="5"/>
    <n v="3"/>
    <n v="4"/>
    <n v="5"/>
    <n v="4"/>
    <n v="0"/>
    <n v="4"/>
    <x v="1"/>
    <x v="2"/>
    <x v="0"/>
  </r>
  <r>
    <n v="58"/>
    <x v="1"/>
    <s v="Travel_Rarely"/>
    <n v="682"/>
    <x v="0"/>
    <n v="10"/>
    <n v="4"/>
    <s v="Medical"/>
    <n v="1"/>
    <n v="131"/>
    <n v="4"/>
    <s v="Male"/>
    <n v="37"/>
    <n v="3"/>
    <n v="4"/>
    <x v="0"/>
    <n v="3"/>
    <s v="Single"/>
    <n v="13872"/>
    <n v="24409"/>
    <n v="0"/>
    <s v="Y"/>
    <x v="1"/>
    <n v="13"/>
    <n v="3"/>
    <n v="3"/>
    <n v="80"/>
    <n v="0"/>
    <n v="38"/>
    <n v="1"/>
    <n v="2"/>
    <n v="37"/>
    <n v="10"/>
    <n v="1"/>
    <n v="8"/>
    <x v="1"/>
    <x v="3"/>
    <x v="2"/>
  </r>
  <r>
    <n v="44"/>
    <x v="1"/>
    <s v="Non-Travel"/>
    <n v="489"/>
    <x v="1"/>
    <n v="23"/>
    <n v="3"/>
    <s v="Medical"/>
    <n v="1"/>
    <n v="132"/>
    <n v="2"/>
    <s v="Male"/>
    <n v="67"/>
    <n v="3"/>
    <n v="2"/>
    <x v="2"/>
    <n v="2"/>
    <s v="Married"/>
    <n v="2042"/>
    <n v="25043"/>
    <n v="4"/>
    <s v="Y"/>
    <x v="1"/>
    <n v="12"/>
    <n v="3"/>
    <n v="3"/>
    <n v="80"/>
    <n v="1"/>
    <n v="17"/>
    <n v="3"/>
    <n v="4"/>
    <n v="3"/>
    <n v="2"/>
    <n v="1"/>
    <n v="2"/>
    <x v="1"/>
    <x v="0"/>
    <x v="1"/>
  </r>
  <r>
    <n v="37"/>
    <x v="0"/>
    <s v="Travel_Rarely"/>
    <n v="807"/>
    <x v="2"/>
    <n v="6"/>
    <n v="4"/>
    <s v="Human Resources"/>
    <n v="1"/>
    <n v="133"/>
    <n v="3"/>
    <s v="Male"/>
    <n v="63"/>
    <n v="3"/>
    <n v="1"/>
    <x v="8"/>
    <n v="1"/>
    <s v="Divorced"/>
    <n v="2073"/>
    <n v="23648"/>
    <n v="4"/>
    <s v="Y"/>
    <x v="0"/>
    <n v="22"/>
    <n v="4"/>
    <n v="4"/>
    <n v="80"/>
    <n v="0"/>
    <n v="7"/>
    <n v="3"/>
    <n v="3"/>
    <n v="3"/>
    <n v="2"/>
    <n v="0"/>
    <n v="2"/>
    <x v="0"/>
    <x v="1"/>
    <x v="1"/>
  </r>
  <r>
    <n v="32"/>
    <x v="1"/>
    <s v="Travel_Rarely"/>
    <n v="827"/>
    <x v="1"/>
    <n v="1"/>
    <n v="1"/>
    <s v="Life Sciences"/>
    <n v="1"/>
    <n v="134"/>
    <n v="4"/>
    <s v="Male"/>
    <n v="71"/>
    <n v="3"/>
    <n v="1"/>
    <x v="1"/>
    <n v="1"/>
    <s v="Single"/>
    <n v="2956"/>
    <n v="15178"/>
    <n v="1"/>
    <s v="Y"/>
    <x v="1"/>
    <n v="13"/>
    <n v="3"/>
    <n v="4"/>
    <n v="80"/>
    <n v="0"/>
    <n v="1"/>
    <n v="2"/>
    <n v="3"/>
    <n v="1"/>
    <n v="0"/>
    <n v="0"/>
    <n v="0"/>
    <x v="1"/>
    <x v="1"/>
    <x v="1"/>
  </r>
  <r>
    <n v="20"/>
    <x v="0"/>
    <s v="Travel_Frequently"/>
    <n v="871"/>
    <x v="1"/>
    <n v="6"/>
    <n v="3"/>
    <s v="Life Sciences"/>
    <n v="1"/>
    <n v="137"/>
    <n v="4"/>
    <s v="Female"/>
    <n v="66"/>
    <n v="2"/>
    <n v="1"/>
    <x v="2"/>
    <n v="4"/>
    <s v="Single"/>
    <n v="2926"/>
    <n v="19783"/>
    <n v="1"/>
    <s v="Y"/>
    <x v="0"/>
    <n v="18"/>
    <n v="3"/>
    <n v="2"/>
    <n v="80"/>
    <n v="0"/>
    <n v="1"/>
    <n v="5"/>
    <n v="3"/>
    <n v="1"/>
    <n v="0"/>
    <n v="1"/>
    <n v="0"/>
    <x v="0"/>
    <x v="2"/>
    <x v="1"/>
  </r>
  <r>
    <n v="34"/>
    <x v="1"/>
    <s v="Travel_Rarely"/>
    <n v="665"/>
    <x v="1"/>
    <n v="6"/>
    <n v="4"/>
    <s v="Other"/>
    <n v="1"/>
    <n v="138"/>
    <n v="1"/>
    <s v="Female"/>
    <n v="41"/>
    <n v="3"/>
    <n v="2"/>
    <x v="1"/>
    <n v="3"/>
    <s v="Single"/>
    <n v="4809"/>
    <n v="12482"/>
    <n v="1"/>
    <s v="Y"/>
    <x v="1"/>
    <n v="14"/>
    <n v="3"/>
    <n v="3"/>
    <n v="80"/>
    <n v="0"/>
    <n v="16"/>
    <n v="3"/>
    <n v="3"/>
    <n v="16"/>
    <n v="13"/>
    <n v="2"/>
    <n v="10"/>
    <x v="1"/>
    <x v="1"/>
    <x v="0"/>
  </r>
  <r>
    <n v="37"/>
    <x v="1"/>
    <s v="Non-Travel"/>
    <n v="1040"/>
    <x v="1"/>
    <n v="2"/>
    <n v="2"/>
    <s v="Life Sciences"/>
    <n v="1"/>
    <n v="139"/>
    <n v="3"/>
    <s v="Male"/>
    <n v="100"/>
    <n v="2"/>
    <n v="2"/>
    <x v="4"/>
    <n v="4"/>
    <s v="Divorced"/>
    <n v="5163"/>
    <n v="15850"/>
    <n v="5"/>
    <s v="Y"/>
    <x v="1"/>
    <n v="14"/>
    <n v="3"/>
    <n v="4"/>
    <n v="80"/>
    <n v="1"/>
    <n v="17"/>
    <n v="2"/>
    <n v="4"/>
    <n v="1"/>
    <n v="0"/>
    <n v="0"/>
    <n v="0"/>
    <x v="1"/>
    <x v="1"/>
    <x v="0"/>
  </r>
  <r>
    <n v="59"/>
    <x v="1"/>
    <s v="Non-Travel"/>
    <n v="1420"/>
    <x v="2"/>
    <n v="2"/>
    <n v="4"/>
    <s v="Human Resources"/>
    <n v="1"/>
    <n v="140"/>
    <n v="3"/>
    <s v="Female"/>
    <n v="32"/>
    <n v="2"/>
    <n v="5"/>
    <x v="5"/>
    <n v="4"/>
    <s v="Married"/>
    <n v="18844"/>
    <n v="21922"/>
    <n v="9"/>
    <s v="Y"/>
    <x v="1"/>
    <n v="21"/>
    <n v="4"/>
    <n v="4"/>
    <n v="80"/>
    <n v="1"/>
    <n v="30"/>
    <n v="3"/>
    <n v="3"/>
    <n v="3"/>
    <n v="2"/>
    <n v="2"/>
    <n v="2"/>
    <x v="1"/>
    <x v="3"/>
    <x v="2"/>
  </r>
  <r>
    <n v="50"/>
    <x v="1"/>
    <s v="Travel_Frequently"/>
    <n v="1115"/>
    <x v="1"/>
    <n v="1"/>
    <n v="3"/>
    <s v="Life Sciences"/>
    <n v="1"/>
    <n v="141"/>
    <n v="1"/>
    <s v="Female"/>
    <n v="73"/>
    <n v="3"/>
    <n v="5"/>
    <x v="7"/>
    <n v="2"/>
    <s v="Married"/>
    <n v="18172"/>
    <n v="9755"/>
    <n v="3"/>
    <s v="Y"/>
    <x v="0"/>
    <n v="19"/>
    <n v="3"/>
    <n v="1"/>
    <n v="80"/>
    <n v="0"/>
    <n v="28"/>
    <n v="1"/>
    <n v="2"/>
    <n v="8"/>
    <n v="3"/>
    <n v="0"/>
    <n v="7"/>
    <x v="1"/>
    <x v="3"/>
    <x v="2"/>
  </r>
  <r>
    <n v="25"/>
    <x v="0"/>
    <s v="Travel_Rarely"/>
    <n v="240"/>
    <x v="0"/>
    <n v="5"/>
    <n v="3"/>
    <s v="Marketing"/>
    <n v="1"/>
    <n v="142"/>
    <n v="3"/>
    <s v="Male"/>
    <n v="46"/>
    <n v="2"/>
    <n v="2"/>
    <x v="0"/>
    <n v="3"/>
    <s v="Single"/>
    <n v="5744"/>
    <n v="26959"/>
    <n v="1"/>
    <s v="Y"/>
    <x v="0"/>
    <n v="11"/>
    <n v="3"/>
    <n v="4"/>
    <n v="80"/>
    <n v="0"/>
    <n v="6"/>
    <n v="1"/>
    <n v="3"/>
    <n v="6"/>
    <n v="4"/>
    <n v="0"/>
    <n v="3"/>
    <x v="0"/>
    <x v="2"/>
    <x v="0"/>
  </r>
  <r>
    <n v="25"/>
    <x v="1"/>
    <s v="Travel_Rarely"/>
    <n v="1280"/>
    <x v="1"/>
    <n v="7"/>
    <n v="1"/>
    <s v="Medical"/>
    <n v="1"/>
    <n v="143"/>
    <n v="4"/>
    <s v="Male"/>
    <n v="64"/>
    <n v="2"/>
    <n v="1"/>
    <x v="1"/>
    <n v="4"/>
    <s v="Married"/>
    <n v="2889"/>
    <n v="26897"/>
    <n v="1"/>
    <s v="Y"/>
    <x v="1"/>
    <n v="11"/>
    <n v="3"/>
    <n v="3"/>
    <n v="80"/>
    <n v="2"/>
    <n v="2"/>
    <n v="2"/>
    <n v="3"/>
    <n v="2"/>
    <n v="2"/>
    <n v="2"/>
    <n v="1"/>
    <x v="1"/>
    <x v="2"/>
    <x v="1"/>
  </r>
  <r>
    <n v="22"/>
    <x v="1"/>
    <s v="Travel_Rarely"/>
    <n v="534"/>
    <x v="1"/>
    <n v="15"/>
    <n v="3"/>
    <s v="Medical"/>
    <n v="1"/>
    <n v="144"/>
    <n v="2"/>
    <s v="Female"/>
    <n v="59"/>
    <n v="3"/>
    <n v="1"/>
    <x v="2"/>
    <n v="4"/>
    <s v="Single"/>
    <n v="2871"/>
    <n v="23785"/>
    <n v="1"/>
    <s v="Y"/>
    <x v="1"/>
    <n v="15"/>
    <n v="3"/>
    <n v="3"/>
    <n v="80"/>
    <n v="0"/>
    <n v="1"/>
    <n v="5"/>
    <n v="3"/>
    <n v="0"/>
    <n v="0"/>
    <n v="0"/>
    <n v="0"/>
    <x v="1"/>
    <x v="2"/>
    <x v="1"/>
  </r>
  <r>
    <n v="51"/>
    <x v="1"/>
    <s v="Travel_Frequently"/>
    <n v="1456"/>
    <x v="1"/>
    <n v="1"/>
    <n v="4"/>
    <s v="Medical"/>
    <n v="1"/>
    <n v="145"/>
    <n v="1"/>
    <s v="Female"/>
    <n v="30"/>
    <n v="2"/>
    <n v="3"/>
    <x v="4"/>
    <n v="1"/>
    <s v="Single"/>
    <n v="7484"/>
    <n v="25796"/>
    <n v="3"/>
    <s v="Y"/>
    <x v="1"/>
    <n v="20"/>
    <n v="4"/>
    <n v="3"/>
    <n v="80"/>
    <n v="0"/>
    <n v="23"/>
    <n v="1"/>
    <n v="2"/>
    <n v="13"/>
    <n v="12"/>
    <n v="12"/>
    <n v="8"/>
    <x v="1"/>
    <x v="3"/>
    <x v="2"/>
  </r>
  <r>
    <n v="34"/>
    <x v="0"/>
    <s v="Travel_Frequently"/>
    <n v="658"/>
    <x v="1"/>
    <n v="7"/>
    <n v="3"/>
    <s v="Life Sciences"/>
    <n v="1"/>
    <n v="147"/>
    <n v="1"/>
    <s v="Male"/>
    <n v="66"/>
    <n v="1"/>
    <n v="2"/>
    <x v="2"/>
    <n v="3"/>
    <s v="Single"/>
    <n v="6074"/>
    <n v="22887"/>
    <n v="1"/>
    <s v="Y"/>
    <x v="0"/>
    <n v="24"/>
    <n v="4"/>
    <n v="4"/>
    <n v="80"/>
    <n v="0"/>
    <n v="9"/>
    <n v="3"/>
    <n v="3"/>
    <n v="9"/>
    <n v="7"/>
    <n v="0"/>
    <n v="6"/>
    <x v="0"/>
    <x v="1"/>
    <x v="0"/>
  </r>
  <r>
    <n v="54"/>
    <x v="1"/>
    <s v="Non-Travel"/>
    <n v="142"/>
    <x v="2"/>
    <n v="26"/>
    <n v="3"/>
    <s v="Human Resources"/>
    <n v="1"/>
    <n v="148"/>
    <n v="4"/>
    <s v="Female"/>
    <n v="30"/>
    <n v="4"/>
    <n v="4"/>
    <x v="5"/>
    <n v="4"/>
    <s v="Single"/>
    <n v="17328"/>
    <n v="13871"/>
    <n v="2"/>
    <s v="Y"/>
    <x v="0"/>
    <n v="12"/>
    <n v="3"/>
    <n v="3"/>
    <n v="80"/>
    <n v="0"/>
    <n v="23"/>
    <n v="3"/>
    <n v="3"/>
    <n v="5"/>
    <n v="3"/>
    <n v="4"/>
    <n v="4"/>
    <x v="1"/>
    <x v="3"/>
    <x v="2"/>
  </r>
  <r>
    <n v="24"/>
    <x v="1"/>
    <s v="Travel_Rarely"/>
    <n v="1127"/>
    <x v="1"/>
    <n v="18"/>
    <n v="1"/>
    <s v="Life Sciences"/>
    <n v="1"/>
    <n v="150"/>
    <n v="2"/>
    <s v="Male"/>
    <n v="52"/>
    <n v="3"/>
    <n v="1"/>
    <x v="2"/>
    <n v="3"/>
    <s v="Married"/>
    <n v="2774"/>
    <n v="13257"/>
    <n v="0"/>
    <s v="Y"/>
    <x v="1"/>
    <n v="12"/>
    <n v="3"/>
    <n v="3"/>
    <n v="80"/>
    <n v="1"/>
    <n v="6"/>
    <n v="2"/>
    <n v="3"/>
    <n v="5"/>
    <n v="3"/>
    <n v="1"/>
    <n v="2"/>
    <x v="1"/>
    <x v="2"/>
    <x v="1"/>
  </r>
  <r>
    <n v="34"/>
    <x v="1"/>
    <s v="Travel_Rarely"/>
    <n v="1031"/>
    <x v="1"/>
    <n v="6"/>
    <n v="4"/>
    <s v="Life Sciences"/>
    <n v="1"/>
    <n v="151"/>
    <n v="3"/>
    <s v="Female"/>
    <n v="45"/>
    <n v="2"/>
    <n v="2"/>
    <x v="1"/>
    <n v="2"/>
    <s v="Divorced"/>
    <n v="4505"/>
    <n v="15000"/>
    <n v="6"/>
    <s v="Y"/>
    <x v="1"/>
    <n v="15"/>
    <n v="3"/>
    <n v="3"/>
    <n v="80"/>
    <n v="1"/>
    <n v="12"/>
    <n v="3"/>
    <n v="3"/>
    <n v="1"/>
    <n v="0"/>
    <n v="0"/>
    <n v="0"/>
    <x v="1"/>
    <x v="1"/>
    <x v="0"/>
  </r>
  <r>
    <n v="37"/>
    <x v="1"/>
    <s v="Travel_Rarely"/>
    <n v="1189"/>
    <x v="0"/>
    <n v="3"/>
    <n v="3"/>
    <s v="Life Sciences"/>
    <n v="1"/>
    <n v="152"/>
    <n v="3"/>
    <s v="Male"/>
    <n v="87"/>
    <n v="3"/>
    <n v="3"/>
    <x v="0"/>
    <n v="4"/>
    <s v="Single"/>
    <n v="7428"/>
    <n v="14506"/>
    <n v="2"/>
    <s v="Y"/>
    <x v="1"/>
    <n v="12"/>
    <n v="3"/>
    <n v="1"/>
    <n v="80"/>
    <n v="0"/>
    <n v="12"/>
    <n v="3"/>
    <n v="3"/>
    <n v="5"/>
    <n v="3"/>
    <n v="1"/>
    <n v="3"/>
    <x v="1"/>
    <x v="1"/>
    <x v="2"/>
  </r>
  <r>
    <n v="34"/>
    <x v="1"/>
    <s v="Travel_Rarely"/>
    <n v="1354"/>
    <x v="1"/>
    <n v="5"/>
    <n v="3"/>
    <s v="Medical"/>
    <n v="1"/>
    <n v="153"/>
    <n v="3"/>
    <s v="Female"/>
    <n v="45"/>
    <n v="2"/>
    <n v="3"/>
    <x v="5"/>
    <n v="1"/>
    <s v="Single"/>
    <n v="11631"/>
    <n v="5615"/>
    <n v="2"/>
    <s v="Y"/>
    <x v="1"/>
    <n v="12"/>
    <n v="3"/>
    <n v="4"/>
    <n v="80"/>
    <n v="0"/>
    <n v="14"/>
    <n v="6"/>
    <n v="3"/>
    <n v="11"/>
    <n v="10"/>
    <n v="5"/>
    <n v="8"/>
    <x v="1"/>
    <x v="1"/>
    <x v="2"/>
  </r>
  <r>
    <n v="36"/>
    <x v="1"/>
    <s v="Travel_Frequently"/>
    <n v="1467"/>
    <x v="0"/>
    <n v="11"/>
    <n v="2"/>
    <s v="Technical Degree"/>
    <n v="1"/>
    <n v="154"/>
    <n v="2"/>
    <s v="Female"/>
    <n v="92"/>
    <n v="3"/>
    <n v="3"/>
    <x v="0"/>
    <n v="4"/>
    <s v="Married"/>
    <n v="9738"/>
    <n v="22952"/>
    <n v="0"/>
    <s v="Y"/>
    <x v="1"/>
    <n v="14"/>
    <n v="3"/>
    <n v="3"/>
    <n v="80"/>
    <n v="1"/>
    <n v="10"/>
    <n v="6"/>
    <n v="3"/>
    <n v="9"/>
    <n v="7"/>
    <n v="2"/>
    <n v="8"/>
    <x v="1"/>
    <x v="1"/>
    <x v="2"/>
  </r>
  <r>
    <n v="36"/>
    <x v="1"/>
    <s v="Travel_Rarely"/>
    <n v="922"/>
    <x v="1"/>
    <n v="3"/>
    <n v="2"/>
    <s v="Life Sciences"/>
    <n v="1"/>
    <n v="155"/>
    <n v="1"/>
    <s v="Female"/>
    <n v="39"/>
    <n v="3"/>
    <n v="1"/>
    <x v="2"/>
    <n v="4"/>
    <s v="Divorced"/>
    <n v="2835"/>
    <n v="2561"/>
    <n v="5"/>
    <s v="Y"/>
    <x v="1"/>
    <n v="22"/>
    <n v="4"/>
    <n v="1"/>
    <n v="80"/>
    <n v="1"/>
    <n v="7"/>
    <n v="2"/>
    <n v="3"/>
    <n v="1"/>
    <n v="0"/>
    <n v="0"/>
    <n v="0"/>
    <x v="1"/>
    <x v="1"/>
    <x v="1"/>
  </r>
  <r>
    <n v="43"/>
    <x v="1"/>
    <s v="Travel_Frequently"/>
    <n v="394"/>
    <x v="0"/>
    <n v="26"/>
    <n v="2"/>
    <s v="Life Sciences"/>
    <n v="1"/>
    <n v="158"/>
    <n v="3"/>
    <s v="Male"/>
    <n v="92"/>
    <n v="3"/>
    <n v="4"/>
    <x v="5"/>
    <n v="4"/>
    <s v="Married"/>
    <n v="16959"/>
    <n v="19494"/>
    <n v="1"/>
    <s v="Y"/>
    <x v="0"/>
    <n v="12"/>
    <n v="3"/>
    <n v="4"/>
    <n v="80"/>
    <n v="2"/>
    <n v="25"/>
    <n v="3"/>
    <n v="4"/>
    <n v="25"/>
    <n v="12"/>
    <n v="4"/>
    <n v="12"/>
    <x v="1"/>
    <x v="0"/>
    <x v="2"/>
  </r>
  <r>
    <n v="30"/>
    <x v="1"/>
    <s v="Travel_Frequently"/>
    <n v="1312"/>
    <x v="1"/>
    <n v="23"/>
    <n v="3"/>
    <s v="Life Sciences"/>
    <n v="1"/>
    <n v="159"/>
    <n v="1"/>
    <s v="Male"/>
    <n v="96"/>
    <n v="1"/>
    <n v="1"/>
    <x v="1"/>
    <n v="3"/>
    <s v="Divorced"/>
    <n v="2613"/>
    <n v="22310"/>
    <n v="1"/>
    <s v="Y"/>
    <x v="1"/>
    <n v="25"/>
    <n v="4"/>
    <n v="3"/>
    <n v="80"/>
    <n v="3"/>
    <n v="10"/>
    <n v="2"/>
    <n v="2"/>
    <n v="10"/>
    <n v="7"/>
    <n v="0"/>
    <n v="9"/>
    <x v="1"/>
    <x v="1"/>
    <x v="1"/>
  </r>
  <r>
    <n v="33"/>
    <x v="1"/>
    <s v="Non-Travel"/>
    <n v="750"/>
    <x v="0"/>
    <n v="22"/>
    <n v="2"/>
    <s v="Marketing"/>
    <n v="1"/>
    <n v="160"/>
    <n v="3"/>
    <s v="Male"/>
    <n v="95"/>
    <n v="3"/>
    <n v="2"/>
    <x v="0"/>
    <n v="2"/>
    <s v="Married"/>
    <n v="6146"/>
    <n v="15480"/>
    <n v="0"/>
    <s v="Y"/>
    <x v="1"/>
    <n v="13"/>
    <n v="3"/>
    <n v="1"/>
    <n v="80"/>
    <n v="1"/>
    <n v="8"/>
    <n v="2"/>
    <n v="4"/>
    <n v="7"/>
    <n v="7"/>
    <n v="0"/>
    <n v="7"/>
    <x v="1"/>
    <x v="1"/>
    <x v="0"/>
  </r>
  <r>
    <n v="56"/>
    <x v="0"/>
    <s v="Travel_Rarely"/>
    <n v="441"/>
    <x v="1"/>
    <n v="14"/>
    <n v="4"/>
    <s v="Life Sciences"/>
    <n v="1"/>
    <n v="161"/>
    <n v="2"/>
    <s v="Female"/>
    <n v="72"/>
    <n v="3"/>
    <n v="1"/>
    <x v="1"/>
    <n v="2"/>
    <s v="Married"/>
    <n v="4963"/>
    <n v="4510"/>
    <n v="9"/>
    <s v="Y"/>
    <x v="0"/>
    <n v="18"/>
    <n v="3"/>
    <n v="1"/>
    <n v="80"/>
    <n v="3"/>
    <n v="7"/>
    <n v="2"/>
    <n v="3"/>
    <n v="5"/>
    <n v="4"/>
    <n v="4"/>
    <n v="3"/>
    <x v="0"/>
    <x v="3"/>
    <x v="0"/>
  </r>
  <r>
    <n v="51"/>
    <x v="1"/>
    <s v="Travel_Rarely"/>
    <n v="684"/>
    <x v="1"/>
    <n v="6"/>
    <n v="3"/>
    <s v="Life Sciences"/>
    <n v="1"/>
    <n v="162"/>
    <n v="1"/>
    <s v="Male"/>
    <n v="51"/>
    <n v="3"/>
    <n v="5"/>
    <x v="7"/>
    <n v="3"/>
    <s v="Single"/>
    <n v="19537"/>
    <n v="6462"/>
    <n v="7"/>
    <s v="Y"/>
    <x v="1"/>
    <n v="13"/>
    <n v="3"/>
    <n v="3"/>
    <n v="80"/>
    <n v="0"/>
    <n v="23"/>
    <n v="5"/>
    <n v="3"/>
    <n v="20"/>
    <n v="18"/>
    <n v="15"/>
    <n v="15"/>
    <x v="1"/>
    <x v="3"/>
    <x v="2"/>
  </r>
  <r>
    <n v="31"/>
    <x v="0"/>
    <s v="Travel_Rarely"/>
    <n v="249"/>
    <x v="0"/>
    <n v="6"/>
    <n v="4"/>
    <s v="Life Sciences"/>
    <n v="1"/>
    <n v="163"/>
    <n v="2"/>
    <s v="Male"/>
    <n v="76"/>
    <n v="1"/>
    <n v="2"/>
    <x v="0"/>
    <n v="3"/>
    <s v="Married"/>
    <n v="6172"/>
    <n v="20739"/>
    <n v="4"/>
    <s v="Y"/>
    <x v="0"/>
    <n v="18"/>
    <n v="3"/>
    <n v="2"/>
    <n v="80"/>
    <n v="0"/>
    <n v="12"/>
    <n v="3"/>
    <n v="2"/>
    <n v="7"/>
    <n v="7"/>
    <n v="7"/>
    <n v="7"/>
    <x v="0"/>
    <x v="1"/>
    <x v="0"/>
  </r>
  <r>
    <n v="26"/>
    <x v="1"/>
    <s v="Travel_Rarely"/>
    <n v="841"/>
    <x v="1"/>
    <n v="6"/>
    <n v="3"/>
    <s v="Other"/>
    <n v="1"/>
    <n v="164"/>
    <n v="3"/>
    <s v="Female"/>
    <n v="46"/>
    <n v="2"/>
    <n v="1"/>
    <x v="1"/>
    <n v="2"/>
    <s v="Married"/>
    <n v="2368"/>
    <n v="23300"/>
    <n v="1"/>
    <s v="Y"/>
    <x v="1"/>
    <n v="19"/>
    <n v="3"/>
    <n v="3"/>
    <n v="80"/>
    <n v="0"/>
    <n v="5"/>
    <n v="3"/>
    <n v="2"/>
    <n v="5"/>
    <n v="4"/>
    <n v="4"/>
    <n v="3"/>
    <x v="1"/>
    <x v="2"/>
    <x v="1"/>
  </r>
  <r>
    <n v="58"/>
    <x v="0"/>
    <s v="Travel_Rarely"/>
    <n v="147"/>
    <x v="1"/>
    <n v="23"/>
    <n v="4"/>
    <s v="Medical"/>
    <n v="1"/>
    <n v="165"/>
    <n v="4"/>
    <s v="Female"/>
    <n v="94"/>
    <n v="3"/>
    <n v="3"/>
    <x v="4"/>
    <n v="4"/>
    <s v="Married"/>
    <n v="10312"/>
    <n v="3465"/>
    <n v="1"/>
    <s v="Y"/>
    <x v="1"/>
    <n v="12"/>
    <n v="3"/>
    <n v="4"/>
    <n v="80"/>
    <n v="1"/>
    <n v="40"/>
    <n v="3"/>
    <n v="2"/>
    <n v="40"/>
    <n v="10"/>
    <n v="15"/>
    <n v="6"/>
    <x v="0"/>
    <x v="3"/>
    <x v="2"/>
  </r>
  <r>
    <n v="19"/>
    <x v="0"/>
    <s v="Travel_Rarely"/>
    <n v="528"/>
    <x v="0"/>
    <n v="22"/>
    <n v="1"/>
    <s v="Marketing"/>
    <n v="1"/>
    <n v="167"/>
    <n v="4"/>
    <s v="Male"/>
    <n v="50"/>
    <n v="3"/>
    <n v="1"/>
    <x v="6"/>
    <n v="3"/>
    <s v="Single"/>
    <n v="1675"/>
    <n v="26820"/>
    <n v="1"/>
    <s v="Y"/>
    <x v="0"/>
    <n v="19"/>
    <n v="3"/>
    <n v="4"/>
    <n v="80"/>
    <n v="0"/>
    <n v="0"/>
    <n v="2"/>
    <n v="2"/>
    <n v="0"/>
    <n v="0"/>
    <n v="0"/>
    <n v="0"/>
    <x v="0"/>
    <x v="2"/>
    <x v="1"/>
  </r>
  <r>
    <n v="22"/>
    <x v="1"/>
    <s v="Travel_Rarely"/>
    <n v="594"/>
    <x v="1"/>
    <n v="2"/>
    <n v="1"/>
    <s v="Technical Degree"/>
    <n v="1"/>
    <n v="169"/>
    <n v="3"/>
    <s v="Male"/>
    <n v="100"/>
    <n v="3"/>
    <n v="1"/>
    <x v="2"/>
    <n v="4"/>
    <s v="Married"/>
    <n v="2523"/>
    <n v="19299"/>
    <n v="0"/>
    <s v="Y"/>
    <x v="1"/>
    <n v="14"/>
    <n v="3"/>
    <n v="3"/>
    <n v="80"/>
    <n v="1"/>
    <n v="3"/>
    <n v="2"/>
    <n v="3"/>
    <n v="2"/>
    <n v="1"/>
    <n v="2"/>
    <n v="1"/>
    <x v="1"/>
    <x v="2"/>
    <x v="1"/>
  </r>
  <r>
    <n v="49"/>
    <x v="1"/>
    <s v="Travel_Rarely"/>
    <n v="470"/>
    <x v="1"/>
    <n v="20"/>
    <n v="4"/>
    <s v="Medical"/>
    <n v="1"/>
    <n v="170"/>
    <n v="3"/>
    <s v="Female"/>
    <n v="96"/>
    <n v="3"/>
    <n v="2"/>
    <x v="3"/>
    <n v="1"/>
    <s v="Married"/>
    <n v="6567"/>
    <n v="5549"/>
    <n v="1"/>
    <s v="Y"/>
    <x v="1"/>
    <n v="14"/>
    <n v="3"/>
    <n v="3"/>
    <n v="80"/>
    <n v="0"/>
    <n v="16"/>
    <n v="2"/>
    <n v="2"/>
    <n v="15"/>
    <n v="11"/>
    <n v="5"/>
    <n v="11"/>
    <x v="1"/>
    <x v="0"/>
    <x v="0"/>
  </r>
  <r>
    <n v="43"/>
    <x v="1"/>
    <s v="Travel_Frequently"/>
    <n v="957"/>
    <x v="1"/>
    <n v="28"/>
    <n v="3"/>
    <s v="Medical"/>
    <n v="1"/>
    <n v="171"/>
    <n v="2"/>
    <s v="Female"/>
    <n v="72"/>
    <n v="4"/>
    <n v="1"/>
    <x v="1"/>
    <n v="3"/>
    <s v="Single"/>
    <n v="4739"/>
    <n v="16090"/>
    <n v="4"/>
    <s v="Y"/>
    <x v="1"/>
    <n v="12"/>
    <n v="3"/>
    <n v="4"/>
    <n v="80"/>
    <n v="0"/>
    <n v="18"/>
    <n v="2"/>
    <n v="3"/>
    <n v="3"/>
    <n v="2"/>
    <n v="1"/>
    <n v="2"/>
    <x v="1"/>
    <x v="0"/>
    <x v="0"/>
  </r>
  <r>
    <n v="50"/>
    <x v="1"/>
    <s v="Travel_Frequently"/>
    <n v="809"/>
    <x v="0"/>
    <n v="12"/>
    <n v="3"/>
    <s v="Marketing"/>
    <n v="1"/>
    <n v="174"/>
    <n v="3"/>
    <s v="Female"/>
    <n v="77"/>
    <n v="3"/>
    <n v="3"/>
    <x v="0"/>
    <n v="4"/>
    <s v="Single"/>
    <n v="9208"/>
    <n v="6645"/>
    <n v="4"/>
    <s v="Y"/>
    <x v="1"/>
    <n v="11"/>
    <n v="3"/>
    <n v="4"/>
    <n v="80"/>
    <n v="0"/>
    <n v="16"/>
    <n v="3"/>
    <n v="3"/>
    <n v="2"/>
    <n v="2"/>
    <n v="2"/>
    <n v="1"/>
    <x v="1"/>
    <x v="3"/>
    <x v="2"/>
  </r>
  <r>
    <n v="31"/>
    <x v="0"/>
    <s v="Travel_Rarely"/>
    <n v="542"/>
    <x v="0"/>
    <n v="20"/>
    <n v="3"/>
    <s v="Life Sciences"/>
    <n v="1"/>
    <n v="175"/>
    <n v="2"/>
    <s v="Female"/>
    <n v="71"/>
    <n v="1"/>
    <n v="2"/>
    <x v="0"/>
    <n v="3"/>
    <s v="Married"/>
    <n v="4559"/>
    <n v="24788"/>
    <n v="3"/>
    <s v="Y"/>
    <x v="0"/>
    <n v="11"/>
    <n v="3"/>
    <n v="3"/>
    <n v="80"/>
    <n v="1"/>
    <n v="4"/>
    <n v="2"/>
    <n v="3"/>
    <n v="2"/>
    <n v="2"/>
    <n v="2"/>
    <n v="2"/>
    <x v="0"/>
    <x v="1"/>
    <x v="0"/>
  </r>
  <r>
    <n v="41"/>
    <x v="1"/>
    <s v="Travel_Rarely"/>
    <n v="802"/>
    <x v="0"/>
    <n v="9"/>
    <n v="1"/>
    <s v="Life Sciences"/>
    <n v="1"/>
    <n v="176"/>
    <n v="3"/>
    <s v="Male"/>
    <n v="96"/>
    <n v="3"/>
    <n v="3"/>
    <x v="0"/>
    <n v="3"/>
    <s v="Divorced"/>
    <n v="8189"/>
    <n v="21196"/>
    <n v="3"/>
    <s v="Y"/>
    <x v="0"/>
    <n v="13"/>
    <n v="3"/>
    <n v="3"/>
    <n v="80"/>
    <n v="1"/>
    <n v="12"/>
    <n v="2"/>
    <n v="3"/>
    <n v="9"/>
    <n v="7"/>
    <n v="0"/>
    <n v="7"/>
    <x v="1"/>
    <x v="0"/>
    <x v="2"/>
  </r>
  <r>
    <n v="26"/>
    <x v="1"/>
    <s v="Travel_Rarely"/>
    <n v="1355"/>
    <x v="2"/>
    <n v="25"/>
    <n v="1"/>
    <s v="Life Sciences"/>
    <n v="1"/>
    <n v="177"/>
    <n v="3"/>
    <s v="Female"/>
    <n v="61"/>
    <n v="3"/>
    <n v="1"/>
    <x v="8"/>
    <n v="3"/>
    <s v="Married"/>
    <n v="2942"/>
    <n v="8916"/>
    <n v="1"/>
    <s v="Y"/>
    <x v="1"/>
    <n v="23"/>
    <n v="4"/>
    <n v="4"/>
    <n v="80"/>
    <n v="1"/>
    <n v="8"/>
    <n v="3"/>
    <n v="3"/>
    <n v="8"/>
    <n v="7"/>
    <n v="5"/>
    <n v="7"/>
    <x v="1"/>
    <x v="2"/>
    <x v="1"/>
  </r>
  <r>
    <n v="36"/>
    <x v="1"/>
    <s v="Travel_Rarely"/>
    <n v="216"/>
    <x v="1"/>
    <n v="6"/>
    <n v="2"/>
    <s v="Medical"/>
    <n v="1"/>
    <n v="178"/>
    <n v="2"/>
    <s v="Male"/>
    <n v="84"/>
    <n v="3"/>
    <n v="2"/>
    <x v="3"/>
    <n v="2"/>
    <s v="Divorced"/>
    <n v="4941"/>
    <n v="2819"/>
    <n v="6"/>
    <s v="Y"/>
    <x v="1"/>
    <n v="20"/>
    <n v="4"/>
    <n v="4"/>
    <n v="80"/>
    <n v="2"/>
    <n v="7"/>
    <n v="0"/>
    <n v="3"/>
    <n v="3"/>
    <n v="2"/>
    <n v="0"/>
    <n v="1"/>
    <x v="1"/>
    <x v="1"/>
    <x v="0"/>
  </r>
  <r>
    <n v="51"/>
    <x v="0"/>
    <s v="Travel_Frequently"/>
    <n v="1150"/>
    <x v="1"/>
    <n v="8"/>
    <n v="4"/>
    <s v="Life Sciences"/>
    <n v="1"/>
    <n v="179"/>
    <n v="1"/>
    <s v="Male"/>
    <n v="53"/>
    <n v="1"/>
    <n v="3"/>
    <x v="3"/>
    <n v="4"/>
    <s v="Single"/>
    <n v="10650"/>
    <n v="25150"/>
    <n v="2"/>
    <s v="Y"/>
    <x v="1"/>
    <n v="15"/>
    <n v="3"/>
    <n v="4"/>
    <n v="80"/>
    <n v="0"/>
    <n v="18"/>
    <n v="2"/>
    <n v="3"/>
    <n v="4"/>
    <n v="2"/>
    <n v="0"/>
    <n v="3"/>
    <x v="0"/>
    <x v="3"/>
    <x v="2"/>
  </r>
  <r>
    <n v="39"/>
    <x v="1"/>
    <s v="Travel_Rarely"/>
    <n v="1329"/>
    <x v="0"/>
    <n v="4"/>
    <n v="4"/>
    <s v="Life Sciences"/>
    <n v="1"/>
    <n v="182"/>
    <n v="4"/>
    <s v="Female"/>
    <n v="47"/>
    <n v="2"/>
    <n v="2"/>
    <x v="0"/>
    <n v="3"/>
    <s v="Married"/>
    <n v="5902"/>
    <n v="14590"/>
    <n v="4"/>
    <s v="Y"/>
    <x v="1"/>
    <n v="14"/>
    <n v="3"/>
    <n v="3"/>
    <n v="80"/>
    <n v="1"/>
    <n v="17"/>
    <n v="1"/>
    <n v="4"/>
    <n v="15"/>
    <n v="11"/>
    <n v="5"/>
    <n v="9"/>
    <x v="1"/>
    <x v="1"/>
    <x v="0"/>
  </r>
  <r>
    <n v="25"/>
    <x v="1"/>
    <s v="Travel_Rarely"/>
    <n v="959"/>
    <x v="0"/>
    <n v="28"/>
    <n v="3"/>
    <s v="Life Sciences"/>
    <n v="1"/>
    <n v="183"/>
    <n v="1"/>
    <s v="Male"/>
    <n v="41"/>
    <n v="2"/>
    <n v="2"/>
    <x v="0"/>
    <n v="3"/>
    <s v="Married"/>
    <n v="8639"/>
    <n v="24835"/>
    <n v="2"/>
    <s v="Y"/>
    <x v="1"/>
    <n v="18"/>
    <n v="3"/>
    <n v="4"/>
    <n v="80"/>
    <n v="0"/>
    <n v="6"/>
    <n v="3"/>
    <n v="3"/>
    <n v="2"/>
    <n v="2"/>
    <n v="2"/>
    <n v="2"/>
    <x v="1"/>
    <x v="2"/>
    <x v="2"/>
  </r>
  <r>
    <n v="30"/>
    <x v="1"/>
    <s v="Travel_Rarely"/>
    <n v="1240"/>
    <x v="2"/>
    <n v="9"/>
    <n v="3"/>
    <s v="Human Resources"/>
    <n v="1"/>
    <n v="184"/>
    <n v="3"/>
    <s v="Male"/>
    <n v="48"/>
    <n v="3"/>
    <n v="2"/>
    <x v="8"/>
    <n v="4"/>
    <s v="Married"/>
    <n v="6347"/>
    <n v="13982"/>
    <n v="0"/>
    <s v="Y"/>
    <x v="0"/>
    <n v="19"/>
    <n v="3"/>
    <n v="4"/>
    <n v="80"/>
    <n v="0"/>
    <n v="12"/>
    <n v="2"/>
    <n v="1"/>
    <n v="11"/>
    <n v="9"/>
    <n v="4"/>
    <n v="7"/>
    <x v="1"/>
    <x v="1"/>
    <x v="0"/>
  </r>
  <r>
    <n v="32"/>
    <x v="0"/>
    <s v="Travel_Rarely"/>
    <n v="1033"/>
    <x v="1"/>
    <n v="9"/>
    <n v="3"/>
    <s v="Medical"/>
    <n v="1"/>
    <n v="190"/>
    <n v="1"/>
    <s v="Female"/>
    <n v="41"/>
    <n v="3"/>
    <n v="1"/>
    <x v="2"/>
    <n v="1"/>
    <s v="Single"/>
    <n v="4200"/>
    <n v="10224"/>
    <n v="7"/>
    <s v="Y"/>
    <x v="1"/>
    <n v="22"/>
    <n v="4"/>
    <n v="1"/>
    <n v="80"/>
    <n v="0"/>
    <n v="10"/>
    <n v="2"/>
    <n v="4"/>
    <n v="5"/>
    <n v="4"/>
    <n v="0"/>
    <n v="4"/>
    <x v="0"/>
    <x v="1"/>
    <x v="0"/>
  </r>
  <r>
    <n v="45"/>
    <x v="1"/>
    <s v="Travel_Rarely"/>
    <n v="1316"/>
    <x v="1"/>
    <n v="29"/>
    <n v="3"/>
    <s v="Medical"/>
    <n v="1"/>
    <n v="192"/>
    <n v="3"/>
    <s v="Male"/>
    <n v="83"/>
    <n v="3"/>
    <n v="1"/>
    <x v="1"/>
    <n v="4"/>
    <s v="Single"/>
    <n v="3452"/>
    <n v="9752"/>
    <n v="5"/>
    <s v="Y"/>
    <x v="1"/>
    <n v="13"/>
    <n v="3"/>
    <n v="2"/>
    <n v="80"/>
    <n v="0"/>
    <n v="9"/>
    <n v="2"/>
    <n v="2"/>
    <n v="6"/>
    <n v="5"/>
    <n v="0"/>
    <n v="3"/>
    <x v="1"/>
    <x v="0"/>
    <x v="0"/>
  </r>
  <r>
    <n v="38"/>
    <x v="1"/>
    <s v="Travel_Rarely"/>
    <n v="364"/>
    <x v="1"/>
    <n v="3"/>
    <n v="5"/>
    <s v="Technical Degree"/>
    <n v="1"/>
    <n v="193"/>
    <n v="4"/>
    <s v="Female"/>
    <n v="32"/>
    <n v="3"/>
    <n v="2"/>
    <x v="1"/>
    <n v="3"/>
    <s v="Single"/>
    <n v="4317"/>
    <n v="2302"/>
    <n v="3"/>
    <s v="Y"/>
    <x v="0"/>
    <n v="20"/>
    <n v="4"/>
    <n v="2"/>
    <n v="80"/>
    <n v="0"/>
    <n v="19"/>
    <n v="2"/>
    <n v="3"/>
    <n v="3"/>
    <n v="2"/>
    <n v="2"/>
    <n v="2"/>
    <x v="1"/>
    <x v="1"/>
    <x v="0"/>
  </r>
  <r>
    <n v="30"/>
    <x v="1"/>
    <s v="Travel_Rarely"/>
    <n v="438"/>
    <x v="1"/>
    <n v="18"/>
    <n v="3"/>
    <s v="Life Sciences"/>
    <n v="1"/>
    <n v="194"/>
    <n v="1"/>
    <s v="Female"/>
    <n v="75"/>
    <n v="3"/>
    <n v="1"/>
    <x v="1"/>
    <n v="3"/>
    <s v="Single"/>
    <n v="2632"/>
    <n v="23910"/>
    <n v="1"/>
    <s v="Y"/>
    <x v="1"/>
    <n v="14"/>
    <n v="3"/>
    <n v="3"/>
    <n v="80"/>
    <n v="0"/>
    <n v="5"/>
    <n v="4"/>
    <n v="2"/>
    <n v="5"/>
    <n v="4"/>
    <n v="0"/>
    <n v="4"/>
    <x v="1"/>
    <x v="1"/>
    <x v="1"/>
  </r>
  <r>
    <n v="32"/>
    <x v="1"/>
    <s v="Travel_Frequently"/>
    <n v="689"/>
    <x v="0"/>
    <n v="9"/>
    <n v="2"/>
    <s v="Medical"/>
    <n v="1"/>
    <n v="195"/>
    <n v="4"/>
    <s v="Male"/>
    <n v="35"/>
    <n v="1"/>
    <n v="2"/>
    <x v="0"/>
    <n v="4"/>
    <s v="Divorced"/>
    <n v="4668"/>
    <n v="22812"/>
    <n v="0"/>
    <s v="Y"/>
    <x v="1"/>
    <n v="17"/>
    <n v="3"/>
    <n v="4"/>
    <n v="80"/>
    <n v="3"/>
    <n v="9"/>
    <n v="2"/>
    <n v="4"/>
    <n v="8"/>
    <n v="7"/>
    <n v="0"/>
    <n v="7"/>
    <x v="1"/>
    <x v="1"/>
    <x v="0"/>
  </r>
  <r>
    <n v="30"/>
    <x v="1"/>
    <s v="Travel_Rarely"/>
    <n v="201"/>
    <x v="1"/>
    <n v="5"/>
    <n v="3"/>
    <s v="Technical Degree"/>
    <n v="1"/>
    <n v="197"/>
    <n v="4"/>
    <s v="Female"/>
    <n v="84"/>
    <n v="3"/>
    <n v="1"/>
    <x v="1"/>
    <n v="1"/>
    <s v="Divorced"/>
    <n v="3204"/>
    <n v="10415"/>
    <n v="5"/>
    <s v="Y"/>
    <x v="1"/>
    <n v="14"/>
    <n v="3"/>
    <n v="4"/>
    <n v="80"/>
    <n v="1"/>
    <n v="8"/>
    <n v="3"/>
    <n v="3"/>
    <n v="3"/>
    <n v="2"/>
    <n v="2"/>
    <n v="2"/>
    <x v="1"/>
    <x v="1"/>
    <x v="0"/>
  </r>
  <r>
    <n v="30"/>
    <x v="1"/>
    <s v="Travel_Rarely"/>
    <n v="1427"/>
    <x v="1"/>
    <n v="2"/>
    <n v="1"/>
    <s v="Medical"/>
    <n v="1"/>
    <n v="198"/>
    <n v="2"/>
    <s v="Male"/>
    <n v="35"/>
    <n v="2"/>
    <n v="1"/>
    <x v="2"/>
    <n v="4"/>
    <s v="Single"/>
    <n v="2720"/>
    <n v="11162"/>
    <n v="0"/>
    <s v="Y"/>
    <x v="1"/>
    <n v="13"/>
    <n v="3"/>
    <n v="4"/>
    <n v="80"/>
    <n v="0"/>
    <n v="6"/>
    <n v="3"/>
    <n v="3"/>
    <n v="5"/>
    <n v="3"/>
    <n v="1"/>
    <n v="2"/>
    <x v="1"/>
    <x v="1"/>
    <x v="1"/>
  </r>
  <r>
    <n v="41"/>
    <x v="1"/>
    <s v="Travel_Frequently"/>
    <n v="857"/>
    <x v="1"/>
    <n v="10"/>
    <n v="3"/>
    <s v="Life Sciences"/>
    <n v="1"/>
    <n v="199"/>
    <n v="4"/>
    <s v="Male"/>
    <n v="91"/>
    <n v="2"/>
    <n v="4"/>
    <x v="5"/>
    <n v="1"/>
    <s v="Divorced"/>
    <n v="17181"/>
    <n v="12888"/>
    <n v="4"/>
    <s v="Y"/>
    <x v="1"/>
    <n v="13"/>
    <n v="3"/>
    <n v="2"/>
    <n v="80"/>
    <n v="1"/>
    <n v="21"/>
    <n v="2"/>
    <n v="2"/>
    <n v="7"/>
    <n v="6"/>
    <n v="7"/>
    <n v="7"/>
    <x v="1"/>
    <x v="0"/>
    <x v="2"/>
  </r>
  <r>
    <n v="41"/>
    <x v="1"/>
    <s v="Travel_Rarely"/>
    <n v="933"/>
    <x v="1"/>
    <n v="9"/>
    <n v="4"/>
    <s v="Life Sciences"/>
    <n v="1"/>
    <n v="200"/>
    <n v="3"/>
    <s v="Male"/>
    <n v="94"/>
    <n v="3"/>
    <n v="1"/>
    <x v="2"/>
    <n v="1"/>
    <s v="Married"/>
    <n v="2238"/>
    <n v="6961"/>
    <n v="2"/>
    <s v="Y"/>
    <x v="1"/>
    <n v="21"/>
    <n v="4"/>
    <n v="4"/>
    <n v="80"/>
    <n v="1"/>
    <n v="7"/>
    <n v="2"/>
    <n v="3"/>
    <n v="5"/>
    <n v="0"/>
    <n v="1"/>
    <n v="4"/>
    <x v="1"/>
    <x v="0"/>
    <x v="1"/>
  </r>
  <r>
    <n v="19"/>
    <x v="1"/>
    <s v="Travel_Rarely"/>
    <n v="1181"/>
    <x v="1"/>
    <n v="3"/>
    <n v="1"/>
    <s v="Medical"/>
    <n v="1"/>
    <n v="201"/>
    <n v="2"/>
    <s v="Female"/>
    <n v="79"/>
    <n v="3"/>
    <n v="1"/>
    <x v="2"/>
    <n v="2"/>
    <s v="Single"/>
    <n v="1483"/>
    <n v="16102"/>
    <n v="1"/>
    <s v="Y"/>
    <x v="1"/>
    <n v="14"/>
    <n v="3"/>
    <n v="4"/>
    <n v="80"/>
    <n v="0"/>
    <n v="1"/>
    <n v="3"/>
    <n v="3"/>
    <n v="1"/>
    <n v="0"/>
    <n v="0"/>
    <n v="0"/>
    <x v="1"/>
    <x v="2"/>
    <x v="1"/>
  </r>
  <r>
    <n v="40"/>
    <x v="1"/>
    <s v="Travel_Frequently"/>
    <n v="1395"/>
    <x v="1"/>
    <n v="26"/>
    <n v="3"/>
    <s v="Medical"/>
    <n v="1"/>
    <n v="202"/>
    <n v="2"/>
    <s v="Female"/>
    <n v="54"/>
    <n v="3"/>
    <n v="2"/>
    <x v="1"/>
    <n v="2"/>
    <s v="Divorced"/>
    <n v="5605"/>
    <n v="8504"/>
    <n v="1"/>
    <s v="Y"/>
    <x v="1"/>
    <n v="11"/>
    <n v="3"/>
    <n v="1"/>
    <n v="80"/>
    <n v="1"/>
    <n v="20"/>
    <n v="2"/>
    <n v="3"/>
    <n v="20"/>
    <n v="7"/>
    <n v="2"/>
    <n v="13"/>
    <x v="1"/>
    <x v="0"/>
    <x v="0"/>
  </r>
  <r>
    <n v="35"/>
    <x v="1"/>
    <s v="Travel_Rarely"/>
    <n v="662"/>
    <x v="0"/>
    <n v="1"/>
    <n v="5"/>
    <s v="Marketing"/>
    <n v="1"/>
    <n v="204"/>
    <n v="3"/>
    <s v="Male"/>
    <n v="94"/>
    <n v="3"/>
    <n v="3"/>
    <x v="0"/>
    <n v="2"/>
    <s v="Married"/>
    <n v="7295"/>
    <n v="11439"/>
    <n v="1"/>
    <s v="Y"/>
    <x v="1"/>
    <n v="13"/>
    <n v="3"/>
    <n v="1"/>
    <n v="80"/>
    <n v="2"/>
    <n v="10"/>
    <n v="3"/>
    <n v="3"/>
    <n v="10"/>
    <n v="8"/>
    <n v="0"/>
    <n v="6"/>
    <x v="1"/>
    <x v="1"/>
    <x v="2"/>
  </r>
  <r>
    <n v="53"/>
    <x v="1"/>
    <s v="Travel_Rarely"/>
    <n v="1436"/>
    <x v="0"/>
    <n v="6"/>
    <n v="2"/>
    <s v="Marketing"/>
    <n v="1"/>
    <n v="205"/>
    <n v="2"/>
    <s v="Male"/>
    <n v="34"/>
    <n v="3"/>
    <n v="2"/>
    <x v="6"/>
    <n v="3"/>
    <s v="Married"/>
    <n v="2306"/>
    <n v="16047"/>
    <n v="2"/>
    <s v="Y"/>
    <x v="0"/>
    <n v="20"/>
    <n v="4"/>
    <n v="4"/>
    <n v="80"/>
    <n v="1"/>
    <n v="13"/>
    <n v="3"/>
    <n v="1"/>
    <n v="7"/>
    <n v="7"/>
    <n v="4"/>
    <n v="5"/>
    <x v="1"/>
    <x v="3"/>
    <x v="1"/>
  </r>
  <r>
    <n v="45"/>
    <x v="1"/>
    <s v="Travel_Rarely"/>
    <n v="194"/>
    <x v="1"/>
    <n v="9"/>
    <n v="3"/>
    <s v="Life Sciences"/>
    <n v="1"/>
    <n v="206"/>
    <n v="2"/>
    <s v="Male"/>
    <n v="60"/>
    <n v="3"/>
    <n v="2"/>
    <x v="2"/>
    <n v="2"/>
    <s v="Divorced"/>
    <n v="2348"/>
    <n v="10901"/>
    <n v="8"/>
    <s v="Y"/>
    <x v="1"/>
    <n v="18"/>
    <n v="3"/>
    <n v="3"/>
    <n v="80"/>
    <n v="1"/>
    <n v="20"/>
    <n v="2"/>
    <n v="1"/>
    <n v="17"/>
    <n v="9"/>
    <n v="0"/>
    <n v="15"/>
    <x v="1"/>
    <x v="0"/>
    <x v="1"/>
  </r>
  <r>
    <n v="32"/>
    <x v="1"/>
    <s v="Travel_Frequently"/>
    <n v="967"/>
    <x v="0"/>
    <n v="8"/>
    <n v="3"/>
    <s v="Marketing"/>
    <n v="1"/>
    <n v="207"/>
    <n v="2"/>
    <s v="Female"/>
    <n v="43"/>
    <n v="3"/>
    <n v="3"/>
    <x v="0"/>
    <n v="4"/>
    <s v="Single"/>
    <n v="8998"/>
    <n v="15589"/>
    <n v="1"/>
    <s v="Y"/>
    <x v="1"/>
    <n v="14"/>
    <n v="3"/>
    <n v="4"/>
    <n v="80"/>
    <n v="0"/>
    <n v="9"/>
    <n v="2"/>
    <n v="3"/>
    <n v="9"/>
    <n v="8"/>
    <n v="3"/>
    <n v="7"/>
    <x v="1"/>
    <x v="1"/>
    <x v="2"/>
  </r>
  <r>
    <n v="29"/>
    <x v="1"/>
    <s v="Non-Travel"/>
    <n v="1496"/>
    <x v="1"/>
    <n v="1"/>
    <n v="1"/>
    <s v="Technical Degree"/>
    <n v="1"/>
    <n v="208"/>
    <n v="4"/>
    <s v="Male"/>
    <n v="41"/>
    <n v="3"/>
    <n v="2"/>
    <x v="3"/>
    <n v="3"/>
    <s v="Married"/>
    <n v="4319"/>
    <n v="26283"/>
    <n v="1"/>
    <s v="Y"/>
    <x v="1"/>
    <n v="13"/>
    <n v="3"/>
    <n v="1"/>
    <n v="80"/>
    <n v="1"/>
    <n v="10"/>
    <n v="1"/>
    <n v="3"/>
    <n v="10"/>
    <n v="7"/>
    <n v="0"/>
    <n v="9"/>
    <x v="1"/>
    <x v="2"/>
    <x v="0"/>
  </r>
  <r>
    <n v="51"/>
    <x v="1"/>
    <s v="Travel_Rarely"/>
    <n v="1169"/>
    <x v="1"/>
    <n v="7"/>
    <n v="4"/>
    <s v="Medical"/>
    <n v="1"/>
    <n v="211"/>
    <n v="2"/>
    <s v="Male"/>
    <n v="34"/>
    <n v="2"/>
    <n v="2"/>
    <x v="3"/>
    <n v="3"/>
    <s v="Married"/>
    <n v="6132"/>
    <n v="13983"/>
    <n v="2"/>
    <s v="Y"/>
    <x v="1"/>
    <n v="17"/>
    <n v="3"/>
    <n v="3"/>
    <n v="80"/>
    <n v="0"/>
    <n v="10"/>
    <n v="2"/>
    <n v="3"/>
    <n v="1"/>
    <n v="0"/>
    <n v="0"/>
    <n v="0"/>
    <x v="1"/>
    <x v="3"/>
    <x v="0"/>
  </r>
  <r>
    <n v="58"/>
    <x v="1"/>
    <s v="Travel_Rarely"/>
    <n v="1145"/>
    <x v="1"/>
    <n v="9"/>
    <n v="3"/>
    <s v="Medical"/>
    <n v="1"/>
    <n v="214"/>
    <n v="2"/>
    <s v="Female"/>
    <n v="75"/>
    <n v="2"/>
    <n v="1"/>
    <x v="1"/>
    <n v="2"/>
    <s v="Married"/>
    <n v="3346"/>
    <n v="11873"/>
    <n v="4"/>
    <s v="Y"/>
    <x v="0"/>
    <n v="20"/>
    <n v="4"/>
    <n v="2"/>
    <n v="80"/>
    <n v="1"/>
    <n v="9"/>
    <n v="3"/>
    <n v="2"/>
    <n v="1"/>
    <n v="0"/>
    <n v="0"/>
    <n v="0"/>
    <x v="1"/>
    <x v="3"/>
    <x v="0"/>
  </r>
  <r>
    <n v="40"/>
    <x v="1"/>
    <s v="Travel_Rarely"/>
    <n v="630"/>
    <x v="0"/>
    <n v="4"/>
    <n v="4"/>
    <s v="Marketing"/>
    <n v="1"/>
    <n v="215"/>
    <n v="3"/>
    <s v="Male"/>
    <n v="67"/>
    <n v="2"/>
    <n v="3"/>
    <x v="0"/>
    <n v="4"/>
    <s v="Married"/>
    <n v="10855"/>
    <n v="8552"/>
    <n v="7"/>
    <s v="Y"/>
    <x v="1"/>
    <n v="11"/>
    <n v="3"/>
    <n v="1"/>
    <n v="80"/>
    <n v="1"/>
    <n v="15"/>
    <n v="2"/>
    <n v="2"/>
    <n v="12"/>
    <n v="11"/>
    <n v="2"/>
    <n v="11"/>
    <x v="1"/>
    <x v="0"/>
    <x v="2"/>
  </r>
  <r>
    <n v="34"/>
    <x v="1"/>
    <s v="Travel_Frequently"/>
    <n v="303"/>
    <x v="0"/>
    <n v="2"/>
    <n v="4"/>
    <s v="Marketing"/>
    <n v="1"/>
    <n v="216"/>
    <n v="3"/>
    <s v="Female"/>
    <n v="75"/>
    <n v="3"/>
    <n v="1"/>
    <x v="6"/>
    <n v="3"/>
    <s v="Married"/>
    <n v="2231"/>
    <n v="11314"/>
    <n v="6"/>
    <s v="Y"/>
    <x v="1"/>
    <n v="18"/>
    <n v="3"/>
    <n v="4"/>
    <n v="80"/>
    <n v="1"/>
    <n v="6"/>
    <n v="3"/>
    <n v="3"/>
    <n v="4"/>
    <n v="3"/>
    <n v="1"/>
    <n v="2"/>
    <x v="1"/>
    <x v="1"/>
    <x v="1"/>
  </r>
  <r>
    <n v="22"/>
    <x v="1"/>
    <s v="Travel_Rarely"/>
    <n v="1256"/>
    <x v="1"/>
    <n v="19"/>
    <n v="1"/>
    <s v="Medical"/>
    <n v="1"/>
    <n v="217"/>
    <n v="3"/>
    <s v="Male"/>
    <n v="80"/>
    <n v="3"/>
    <n v="1"/>
    <x v="1"/>
    <n v="4"/>
    <s v="Married"/>
    <n v="2323"/>
    <n v="11992"/>
    <n v="1"/>
    <s v="Y"/>
    <x v="1"/>
    <n v="24"/>
    <n v="4"/>
    <n v="1"/>
    <n v="80"/>
    <n v="2"/>
    <n v="2"/>
    <n v="6"/>
    <n v="3"/>
    <n v="2"/>
    <n v="2"/>
    <n v="2"/>
    <n v="2"/>
    <x v="1"/>
    <x v="2"/>
    <x v="1"/>
  </r>
  <r>
    <n v="27"/>
    <x v="1"/>
    <s v="Non-Travel"/>
    <n v="691"/>
    <x v="1"/>
    <n v="9"/>
    <n v="3"/>
    <s v="Medical"/>
    <n v="1"/>
    <n v="218"/>
    <n v="4"/>
    <s v="Male"/>
    <n v="57"/>
    <n v="3"/>
    <n v="1"/>
    <x v="1"/>
    <n v="2"/>
    <s v="Divorced"/>
    <n v="2024"/>
    <n v="5970"/>
    <n v="6"/>
    <s v="Y"/>
    <x v="1"/>
    <n v="18"/>
    <n v="3"/>
    <n v="4"/>
    <n v="80"/>
    <n v="1"/>
    <n v="6"/>
    <n v="1"/>
    <n v="1"/>
    <n v="2"/>
    <n v="2"/>
    <n v="2"/>
    <n v="2"/>
    <x v="1"/>
    <x v="2"/>
    <x v="1"/>
  </r>
  <r>
    <n v="28"/>
    <x v="1"/>
    <s v="Travel_Rarely"/>
    <n v="440"/>
    <x v="1"/>
    <n v="21"/>
    <n v="3"/>
    <s v="Medical"/>
    <n v="1"/>
    <n v="221"/>
    <n v="3"/>
    <s v="Male"/>
    <n v="42"/>
    <n v="3"/>
    <n v="1"/>
    <x v="1"/>
    <n v="4"/>
    <s v="Married"/>
    <n v="2713"/>
    <n v="6672"/>
    <n v="1"/>
    <s v="Y"/>
    <x v="1"/>
    <n v="11"/>
    <n v="3"/>
    <n v="3"/>
    <n v="80"/>
    <n v="1"/>
    <n v="5"/>
    <n v="2"/>
    <n v="1"/>
    <n v="5"/>
    <n v="2"/>
    <n v="0"/>
    <n v="2"/>
    <x v="1"/>
    <x v="2"/>
    <x v="1"/>
  </r>
  <r>
    <n v="57"/>
    <x v="1"/>
    <s v="Travel_Rarely"/>
    <n v="334"/>
    <x v="1"/>
    <n v="24"/>
    <n v="2"/>
    <s v="Life Sciences"/>
    <n v="1"/>
    <n v="223"/>
    <n v="3"/>
    <s v="Male"/>
    <n v="83"/>
    <n v="4"/>
    <n v="3"/>
    <x v="4"/>
    <n v="4"/>
    <s v="Divorced"/>
    <n v="9439"/>
    <n v="23402"/>
    <n v="3"/>
    <s v="Y"/>
    <x v="0"/>
    <n v="16"/>
    <n v="3"/>
    <n v="2"/>
    <n v="80"/>
    <n v="1"/>
    <n v="12"/>
    <n v="2"/>
    <n v="1"/>
    <n v="5"/>
    <n v="3"/>
    <n v="1"/>
    <n v="4"/>
    <x v="1"/>
    <x v="3"/>
    <x v="2"/>
  </r>
  <r>
    <n v="27"/>
    <x v="1"/>
    <s v="Non-Travel"/>
    <n v="1450"/>
    <x v="1"/>
    <n v="3"/>
    <n v="3"/>
    <s v="Medical"/>
    <n v="1"/>
    <n v="224"/>
    <n v="3"/>
    <s v="Male"/>
    <n v="79"/>
    <n v="2"/>
    <n v="1"/>
    <x v="1"/>
    <n v="3"/>
    <s v="Divorced"/>
    <n v="2566"/>
    <n v="25326"/>
    <n v="1"/>
    <s v="Y"/>
    <x v="0"/>
    <n v="15"/>
    <n v="3"/>
    <n v="4"/>
    <n v="80"/>
    <n v="1"/>
    <n v="1"/>
    <n v="2"/>
    <n v="2"/>
    <n v="1"/>
    <n v="1"/>
    <n v="0"/>
    <n v="1"/>
    <x v="1"/>
    <x v="2"/>
    <x v="1"/>
  </r>
  <r>
    <n v="50"/>
    <x v="1"/>
    <s v="Travel_Rarely"/>
    <n v="1452"/>
    <x v="1"/>
    <n v="11"/>
    <n v="3"/>
    <s v="Life Sciences"/>
    <n v="1"/>
    <n v="226"/>
    <n v="3"/>
    <s v="Female"/>
    <n v="53"/>
    <n v="3"/>
    <n v="5"/>
    <x v="5"/>
    <n v="2"/>
    <s v="Single"/>
    <n v="19926"/>
    <n v="17053"/>
    <n v="3"/>
    <s v="Y"/>
    <x v="1"/>
    <n v="15"/>
    <n v="3"/>
    <n v="2"/>
    <n v="80"/>
    <n v="0"/>
    <n v="21"/>
    <n v="5"/>
    <n v="3"/>
    <n v="5"/>
    <n v="4"/>
    <n v="4"/>
    <n v="4"/>
    <x v="1"/>
    <x v="3"/>
    <x v="2"/>
  </r>
  <r>
    <n v="41"/>
    <x v="1"/>
    <s v="Travel_Rarely"/>
    <n v="465"/>
    <x v="1"/>
    <n v="14"/>
    <n v="3"/>
    <s v="Life Sciences"/>
    <n v="1"/>
    <n v="227"/>
    <n v="1"/>
    <s v="Male"/>
    <n v="56"/>
    <n v="3"/>
    <n v="1"/>
    <x v="1"/>
    <n v="3"/>
    <s v="Divorced"/>
    <n v="2451"/>
    <n v="4609"/>
    <n v="4"/>
    <s v="Y"/>
    <x v="1"/>
    <n v="12"/>
    <n v="3"/>
    <n v="1"/>
    <n v="80"/>
    <n v="1"/>
    <n v="13"/>
    <n v="2"/>
    <n v="3"/>
    <n v="9"/>
    <n v="8"/>
    <n v="1"/>
    <n v="8"/>
    <x v="1"/>
    <x v="0"/>
    <x v="1"/>
  </r>
  <r>
    <n v="30"/>
    <x v="1"/>
    <s v="Travel_Rarely"/>
    <n v="1339"/>
    <x v="0"/>
    <n v="5"/>
    <n v="3"/>
    <s v="Life Sciences"/>
    <n v="1"/>
    <n v="228"/>
    <n v="2"/>
    <s v="Female"/>
    <n v="41"/>
    <n v="3"/>
    <n v="3"/>
    <x v="0"/>
    <n v="4"/>
    <s v="Married"/>
    <n v="9419"/>
    <n v="8053"/>
    <n v="2"/>
    <s v="Y"/>
    <x v="1"/>
    <n v="12"/>
    <n v="3"/>
    <n v="3"/>
    <n v="80"/>
    <n v="1"/>
    <n v="12"/>
    <n v="2"/>
    <n v="3"/>
    <n v="10"/>
    <n v="9"/>
    <n v="7"/>
    <n v="4"/>
    <x v="1"/>
    <x v="1"/>
    <x v="2"/>
  </r>
  <r>
    <n v="38"/>
    <x v="1"/>
    <s v="Travel_Rarely"/>
    <n v="702"/>
    <x v="0"/>
    <n v="1"/>
    <n v="4"/>
    <s v="Life Sciences"/>
    <n v="1"/>
    <n v="230"/>
    <n v="1"/>
    <s v="Female"/>
    <n v="59"/>
    <n v="2"/>
    <n v="2"/>
    <x v="0"/>
    <n v="4"/>
    <s v="Single"/>
    <n v="8686"/>
    <n v="12930"/>
    <n v="4"/>
    <s v="Y"/>
    <x v="1"/>
    <n v="22"/>
    <n v="4"/>
    <n v="3"/>
    <n v="80"/>
    <n v="0"/>
    <n v="12"/>
    <n v="2"/>
    <n v="4"/>
    <n v="8"/>
    <n v="3"/>
    <n v="0"/>
    <n v="7"/>
    <x v="1"/>
    <x v="1"/>
    <x v="2"/>
  </r>
  <r>
    <n v="32"/>
    <x v="1"/>
    <s v="Travel_Rarely"/>
    <n v="120"/>
    <x v="1"/>
    <n v="6"/>
    <n v="5"/>
    <s v="Life Sciences"/>
    <n v="1"/>
    <n v="231"/>
    <n v="3"/>
    <s v="Male"/>
    <n v="43"/>
    <n v="3"/>
    <n v="1"/>
    <x v="1"/>
    <n v="3"/>
    <s v="Single"/>
    <n v="3038"/>
    <n v="12430"/>
    <n v="3"/>
    <s v="Y"/>
    <x v="1"/>
    <n v="20"/>
    <n v="4"/>
    <n v="1"/>
    <n v="80"/>
    <n v="0"/>
    <n v="8"/>
    <n v="2"/>
    <n v="3"/>
    <n v="5"/>
    <n v="4"/>
    <n v="1"/>
    <n v="4"/>
    <x v="1"/>
    <x v="1"/>
    <x v="0"/>
  </r>
  <r>
    <n v="27"/>
    <x v="1"/>
    <s v="Travel_Rarely"/>
    <n v="1157"/>
    <x v="1"/>
    <n v="17"/>
    <n v="3"/>
    <s v="Technical Degree"/>
    <n v="1"/>
    <n v="233"/>
    <n v="3"/>
    <s v="Male"/>
    <n v="51"/>
    <n v="3"/>
    <n v="1"/>
    <x v="1"/>
    <n v="2"/>
    <s v="Married"/>
    <n v="3058"/>
    <n v="13364"/>
    <n v="0"/>
    <s v="Y"/>
    <x v="0"/>
    <n v="16"/>
    <n v="3"/>
    <n v="4"/>
    <n v="80"/>
    <n v="1"/>
    <n v="6"/>
    <n v="3"/>
    <n v="2"/>
    <n v="5"/>
    <n v="2"/>
    <n v="1"/>
    <n v="1"/>
    <x v="1"/>
    <x v="2"/>
    <x v="0"/>
  </r>
  <r>
    <n v="19"/>
    <x v="0"/>
    <s v="Travel_Frequently"/>
    <n v="602"/>
    <x v="0"/>
    <n v="1"/>
    <n v="1"/>
    <s v="Technical Degree"/>
    <n v="1"/>
    <n v="235"/>
    <n v="3"/>
    <s v="Female"/>
    <n v="100"/>
    <n v="1"/>
    <n v="1"/>
    <x v="6"/>
    <n v="1"/>
    <s v="Single"/>
    <n v="2325"/>
    <n v="20989"/>
    <n v="0"/>
    <s v="Y"/>
    <x v="1"/>
    <n v="21"/>
    <n v="4"/>
    <n v="1"/>
    <n v="80"/>
    <n v="0"/>
    <n v="1"/>
    <n v="5"/>
    <n v="4"/>
    <n v="0"/>
    <n v="0"/>
    <n v="0"/>
    <n v="0"/>
    <x v="0"/>
    <x v="2"/>
    <x v="1"/>
  </r>
  <r>
    <n v="36"/>
    <x v="1"/>
    <s v="Travel_Frequently"/>
    <n v="1480"/>
    <x v="1"/>
    <n v="3"/>
    <n v="2"/>
    <s v="Medical"/>
    <n v="1"/>
    <n v="238"/>
    <n v="4"/>
    <s v="Male"/>
    <n v="30"/>
    <n v="3"/>
    <n v="1"/>
    <x v="2"/>
    <n v="2"/>
    <s v="Single"/>
    <n v="2088"/>
    <n v="15062"/>
    <n v="4"/>
    <s v="Y"/>
    <x v="1"/>
    <n v="12"/>
    <n v="3"/>
    <n v="3"/>
    <n v="80"/>
    <n v="0"/>
    <n v="13"/>
    <n v="3"/>
    <n v="2"/>
    <n v="8"/>
    <n v="7"/>
    <n v="7"/>
    <n v="2"/>
    <x v="1"/>
    <x v="1"/>
    <x v="1"/>
  </r>
  <r>
    <n v="30"/>
    <x v="1"/>
    <s v="Non-Travel"/>
    <n v="111"/>
    <x v="1"/>
    <n v="9"/>
    <n v="3"/>
    <s v="Medical"/>
    <n v="1"/>
    <n v="239"/>
    <n v="3"/>
    <s v="Male"/>
    <n v="66"/>
    <n v="3"/>
    <n v="2"/>
    <x v="2"/>
    <n v="1"/>
    <s v="Divorced"/>
    <n v="3072"/>
    <n v="11012"/>
    <n v="1"/>
    <s v="Y"/>
    <x v="1"/>
    <n v="11"/>
    <n v="3"/>
    <n v="3"/>
    <n v="80"/>
    <n v="2"/>
    <n v="12"/>
    <n v="4"/>
    <n v="3"/>
    <n v="12"/>
    <n v="9"/>
    <n v="6"/>
    <n v="10"/>
    <x v="1"/>
    <x v="1"/>
    <x v="0"/>
  </r>
  <r>
    <n v="45"/>
    <x v="1"/>
    <s v="Travel_Rarely"/>
    <n v="1268"/>
    <x v="0"/>
    <n v="4"/>
    <n v="2"/>
    <s v="Life Sciences"/>
    <n v="1"/>
    <n v="240"/>
    <n v="3"/>
    <s v="Female"/>
    <n v="30"/>
    <n v="3"/>
    <n v="2"/>
    <x v="0"/>
    <n v="1"/>
    <s v="Divorced"/>
    <n v="5006"/>
    <n v="6319"/>
    <n v="4"/>
    <s v="Y"/>
    <x v="0"/>
    <n v="11"/>
    <n v="3"/>
    <n v="1"/>
    <n v="80"/>
    <n v="1"/>
    <n v="9"/>
    <n v="3"/>
    <n v="4"/>
    <n v="5"/>
    <n v="4"/>
    <n v="0"/>
    <n v="3"/>
    <x v="1"/>
    <x v="0"/>
    <x v="0"/>
  </r>
  <r>
    <n v="56"/>
    <x v="1"/>
    <s v="Travel_Rarely"/>
    <n v="713"/>
    <x v="1"/>
    <n v="8"/>
    <n v="3"/>
    <s v="Life Sciences"/>
    <n v="1"/>
    <n v="241"/>
    <n v="3"/>
    <s v="Female"/>
    <n v="67"/>
    <n v="3"/>
    <n v="1"/>
    <x v="1"/>
    <n v="1"/>
    <s v="Divorced"/>
    <n v="4257"/>
    <n v="13939"/>
    <n v="4"/>
    <s v="Y"/>
    <x v="0"/>
    <n v="18"/>
    <n v="3"/>
    <n v="3"/>
    <n v="80"/>
    <n v="1"/>
    <n v="19"/>
    <n v="3"/>
    <n v="3"/>
    <n v="2"/>
    <n v="2"/>
    <n v="2"/>
    <n v="2"/>
    <x v="1"/>
    <x v="3"/>
    <x v="0"/>
  </r>
  <r>
    <n v="33"/>
    <x v="1"/>
    <s v="Travel_Rarely"/>
    <n v="134"/>
    <x v="1"/>
    <n v="2"/>
    <n v="3"/>
    <s v="Life Sciences"/>
    <n v="1"/>
    <n v="242"/>
    <n v="3"/>
    <s v="Male"/>
    <n v="90"/>
    <n v="3"/>
    <n v="1"/>
    <x v="1"/>
    <n v="4"/>
    <s v="Single"/>
    <n v="2500"/>
    <n v="10515"/>
    <n v="0"/>
    <s v="Y"/>
    <x v="1"/>
    <n v="14"/>
    <n v="3"/>
    <n v="1"/>
    <n v="80"/>
    <n v="0"/>
    <n v="4"/>
    <n v="2"/>
    <n v="4"/>
    <n v="3"/>
    <n v="1"/>
    <n v="0"/>
    <n v="2"/>
    <x v="1"/>
    <x v="1"/>
    <x v="1"/>
  </r>
  <r>
    <n v="19"/>
    <x v="0"/>
    <s v="Travel_Rarely"/>
    <n v="303"/>
    <x v="1"/>
    <n v="2"/>
    <n v="3"/>
    <s v="Life Sciences"/>
    <n v="1"/>
    <n v="243"/>
    <n v="2"/>
    <s v="Male"/>
    <n v="47"/>
    <n v="2"/>
    <n v="1"/>
    <x v="2"/>
    <n v="4"/>
    <s v="Single"/>
    <n v="1102"/>
    <n v="9241"/>
    <n v="1"/>
    <s v="Y"/>
    <x v="1"/>
    <n v="22"/>
    <n v="4"/>
    <n v="3"/>
    <n v="80"/>
    <n v="0"/>
    <n v="1"/>
    <n v="3"/>
    <n v="2"/>
    <n v="1"/>
    <n v="0"/>
    <n v="1"/>
    <n v="0"/>
    <x v="0"/>
    <x v="2"/>
    <x v="1"/>
  </r>
  <r>
    <n v="46"/>
    <x v="1"/>
    <s v="Travel_Rarely"/>
    <n v="526"/>
    <x v="0"/>
    <n v="1"/>
    <n v="2"/>
    <s v="Marketing"/>
    <n v="1"/>
    <n v="244"/>
    <n v="2"/>
    <s v="Female"/>
    <n v="92"/>
    <n v="3"/>
    <n v="3"/>
    <x v="0"/>
    <n v="1"/>
    <s v="Divorced"/>
    <n v="10453"/>
    <n v="2137"/>
    <n v="1"/>
    <s v="Y"/>
    <x v="1"/>
    <n v="25"/>
    <n v="4"/>
    <n v="3"/>
    <n v="80"/>
    <n v="3"/>
    <n v="24"/>
    <n v="2"/>
    <n v="3"/>
    <n v="24"/>
    <n v="13"/>
    <n v="15"/>
    <n v="7"/>
    <x v="1"/>
    <x v="0"/>
    <x v="2"/>
  </r>
  <r>
    <n v="38"/>
    <x v="1"/>
    <s v="Travel_Rarely"/>
    <n v="1380"/>
    <x v="1"/>
    <n v="9"/>
    <n v="2"/>
    <s v="Life Sciences"/>
    <n v="1"/>
    <n v="245"/>
    <n v="3"/>
    <s v="Female"/>
    <n v="75"/>
    <n v="3"/>
    <n v="1"/>
    <x v="2"/>
    <n v="4"/>
    <s v="Single"/>
    <n v="2288"/>
    <n v="6319"/>
    <n v="1"/>
    <s v="Y"/>
    <x v="1"/>
    <n v="12"/>
    <n v="3"/>
    <n v="3"/>
    <n v="80"/>
    <n v="0"/>
    <n v="2"/>
    <n v="3"/>
    <n v="3"/>
    <n v="2"/>
    <n v="2"/>
    <n v="2"/>
    <n v="1"/>
    <x v="1"/>
    <x v="1"/>
    <x v="1"/>
  </r>
  <r>
    <n v="31"/>
    <x v="1"/>
    <s v="Travel_Rarely"/>
    <n v="140"/>
    <x v="1"/>
    <n v="12"/>
    <n v="1"/>
    <s v="Medical"/>
    <n v="1"/>
    <n v="246"/>
    <n v="3"/>
    <s v="Female"/>
    <n v="95"/>
    <n v="3"/>
    <n v="1"/>
    <x v="1"/>
    <n v="4"/>
    <s v="Married"/>
    <n v="3929"/>
    <n v="6984"/>
    <n v="8"/>
    <s v="Y"/>
    <x v="0"/>
    <n v="23"/>
    <n v="4"/>
    <n v="3"/>
    <n v="80"/>
    <n v="1"/>
    <n v="7"/>
    <n v="0"/>
    <n v="3"/>
    <n v="4"/>
    <n v="2"/>
    <n v="0"/>
    <n v="2"/>
    <x v="1"/>
    <x v="1"/>
    <x v="0"/>
  </r>
  <r>
    <n v="34"/>
    <x v="1"/>
    <s v="Travel_Rarely"/>
    <n v="629"/>
    <x v="1"/>
    <n v="27"/>
    <n v="2"/>
    <s v="Medical"/>
    <n v="1"/>
    <n v="247"/>
    <n v="4"/>
    <s v="Female"/>
    <n v="95"/>
    <n v="3"/>
    <n v="1"/>
    <x v="1"/>
    <n v="2"/>
    <s v="Single"/>
    <n v="2311"/>
    <n v="5711"/>
    <n v="2"/>
    <s v="Y"/>
    <x v="1"/>
    <n v="15"/>
    <n v="3"/>
    <n v="4"/>
    <n v="80"/>
    <n v="0"/>
    <n v="9"/>
    <n v="3"/>
    <n v="3"/>
    <n v="3"/>
    <n v="2"/>
    <n v="1"/>
    <n v="2"/>
    <x v="1"/>
    <x v="1"/>
    <x v="1"/>
  </r>
  <r>
    <n v="41"/>
    <x v="0"/>
    <s v="Travel_Rarely"/>
    <n v="1356"/>
    <x v="0"/>
    <n v="20"/>
    <n v="2"/>
    <s v="Marketing"/>
    <n v="1"/>
    <n v="248"/>
    <n v="2"/>
    <s v="Female"/>
    <n v="70"/>
    <n v="3"/>
    <n v="1"/>
    <x v="6"/>
    <n v="2"/>
    <s v="Single"/>
    <n v="3140"/>
    <n v="21728"/>
    <n v="1"/>
    <s v="Y"/>
    <x v="0"/>
    <n v="22"/>
    <n v="4"/>
    <n v="4"/>
    <n v="80"/>
    <n v="0"/>
    <n v="4"/>
    <n v="5"/>
    <n v="2"/>
    <n v="4"/>
    <n v="3"/>
    <n v="0"/>
    <n v="2"/>
    <x v="0"/>
    <x v="0"/>
    <x v="0"/>
  </r>
  <r>
    <n v="50"/>
    <x v="1"/>
    <s v="Travel_Rarely"/>
    <n v="328"/>
    <x v="1"/>
    <n v="1"/>
    <n v="3"/>
    <s v="Medical"/>
    <n v="1"/>
    <n v="249"/>
    <n v="3"/>
    <s v="Male"/>
    <n v="86"/>
    <n v="2"/>
    <n v="1"/>
    <x v="2"/>
    <n v="3"/>
    <s v="Married"/>
    <n v="3690"/>
    <n v="3425"/>
    <n v="2"/>
    <s v="Y"/>
    <x v="1"/>
    <n v="15"/>
    <n v="3"/>
    <n v="4"/>
    <n v="80"/>
    <n v="1"/>
    <n v="5"/>
    <n v="2"/>
    <n v="2"/>
    <n v="3"/>
    <n v="2"/>
    <n v="0"/>
    <n v="2"/>
    <x v="1"/>
    <x v="3"/>
    <x v="0"/>
  </r>
  <r>
    <n v="53"/>
    <x v="1"/>
    <s v="Travel_Rarely"/>
    <n v="1084"/>
    <x v="1"/>
    <n v="13"/>
    <n v="2"/>
    <s v="Medical"/>
    <n v="1"/>
    <n v="250"/>
    <n v="4"/>
    <s v="Female"/>
    <n v="57"/>
    <n v="4"/>
    <n v="2"/>
    <x v="3"/>
    <n v="1"/>
    <s v="Divorced"/>
    <n v="4450"/>
    <n v="26250"/>
    <n v="1"/>
    <s v="Y"/>
    <x v="1"/>
    <n v="11"/>
    <n v="3"/>
    <n v="3"/>
    <n v="80"/>
    <n v="2"/>
    <n v="5"/>
    <n v="3"/>
    <n v="3"/>
    <n v="4"/>
    <n v="2"/>
    <n v="1"/>
    <n v="3"/>
    <x v="1"/>
    <x v="3"/>
    <x v="0"/>
  </r>
  <r>
    <n v="33"/>
    <x v="1"/>
    <s v="Travel_Rarely"/>
    <n v="931"/>
    <x v="1"/>
    <n v="14"/>
    <n v="3"/>
    <s v="Medical"/>
    <n v="1"/>
    <n v="252"/>
    <n v="4"/>
    <s v="Female"/>
    <n v="72"/>
    <n v="3"/>
    <n v="1"/>
    <x v="1"/>
    <n v="2"/>
    <s v="Married"/>
    <n v="2756"/>
    <n v="4673"/>
    <n v="1"/>
    <s v="Y"/>
    <x v="1"/>
    <n v="13"/>
    <n v="3"/>
    <n v="4"/>
    <n v="80"/>
    <n v="1"/>
    <n v="8"/>
    <n v="5"/>
    <n v="3"/>
    <n v="8"/>
    <n v="7"/>
    <n v="1"/>
    <n v="6"/>
    <x v="1"/>
    <x v="1"/>
    <x v="1"/>
  </r>
  <r>
    <n v="40"/>
    <x v="1"/>
    <s v="Travel_Rarely"/>
    <n v="989"/>
    <x v="1"/>
    <n v="4"/>
    <n v="1"/>
    <s v="Medical"/>
    <n v="1"/>
    <n v="253"/>
    <n v="4"/>
    <s v="Female"/>
    <n v="46"/>
    <n v="3"/>
    <n v="5"/>
    <x v="5"/>
    <n v="3"/>
    <s v="Married"/>
    <n v="19033"/>
    <n v="6499"/>
    <n v="1"/>
    <s v="Y"/>
    <x v="1"/>
    <n v="14"/>
    <n v="3"/>
    <n v="2"/>
    <n v="80"/>
    <n v="1"/>
    <n v="21"/>
    <n v="2"/>
    <n v="3"/>
    <n v="20"/>
    <n v="8"/>
    <n v="9"/>
    <n v="9"/>
    <x v="1"/>
    <x v="0"/>
    <x v="2"/>
  </r>
  <r>
    <n v="55"/>
    <x v="1"/>
    <s v="Travel_Rarely"/>
    <n v="692"/>
    <x v="1"/>
    <n v="14"/>
    <n v="4"/>
    <s v="Medical"/>
    <n v="1"/>
    <n v="254"/>
    <n v="3"/>
    <s v="Male"/>
    <n v="61"/>
    <n v="4"/>
    <n v="5"/>
    <x v="7"/>
    <n v="2"/>
    <s v="Single"/>
    <n v="18722"/>
    <n v="13339"/>
    <n v="8"/>
    <s v="Y"/>
    <x v="1"/>
    <n v="11"/>
    <n v="3"/>
    <n v="4"/>
    <n v="80"/>
    <n v="0"/>
    <n v="36"/>
    <n v="3"/>
    <n v="3"/>
    <n v="24"/>
    <n v="15"/>
    <n v="2"/>
    <n v="15"/>
    <x v="1"/>
    <x v="3"/>
    <x v="2"/>
  </r>
  <r>
    <n v="34"/>
    <x v="1"/>
    <s v="Travel_Frequently"/>
    <n v="1069"/>
    <x v="1"/>
    <n v="2"/>
    <n v="1"/>
    <s v="Life Sciences"/>
    <n v="1"/>
    <n v="256"/>
    <n v="4"/>
    <s v="Male"/>
    <n v="45"/>
    <n v="2"/>
    <n v="2"/>
    <x v="3"/>
    <n v="3"/>
    <s v="Married"/>
    <n v="9547"/>
    <n v="14074"/>
    <n v="1"/>
    <s v="Y"/>
    <x v="1"/>
    <n v="17"/>
    <n v="3"/>
    <n v="3"/>
    <n v="80"/>
    <n v="0"/>
    <n v="10"/>
    <n v="2"/>
    <n v="2"/>
    <n v="10"/>
    <n v="9"/>
    <n v="1"/>
    <n v="9"/>
    <x v="1"/>
    <x v="1"/>
    <x v="2"/>
  </r>
  <r>
    <n v="51"/>
    <x v="1"/>
    <s v="Travel_Rarely"/>
    <n v="313"/>
    <x v="1"/>
    <n v="3"/>
    <n v="3"/>
    <s v="Medical"/>
    <n v="1"/>
    <n v="258"/>
    <n v="4"/>
    <s v="Female"/>
    <n v="98"/>
    <n v="3"/>
    <n v="4"/>
    <x v="4"/>
    <n v="2"/>
    <s v="Single"/>
    <n v="13734"/>
    <n v="7192"/>
    <n v="3"/>
    <s v="Y"/>
    <x v="1"/>
    <n v="18"/>
    <n v="3"/>
    <n v="3"/>
    <n v="80"/>
    <n v="0"/>
    <n v="21"/>
    <n v="6"/>
    <n v="3"/>
    <n v="7"/>
    <n v="7"/>
    <n v="1"/>
    <n v="0"/>
    <x v="1"/>
    <x v="3"/>
    <x v="2"/>
  </r>
  <r>
    <n v="52"/>
    <x v="1"/>
    <s v="Travel_Rarely"/>
    <n v="699"/>
    <x v="1"/>
    <n v="1"/>
    <n v="4"/>
    <s v="Life Sciences"/>
    <n v="1"/>
    <n v="259"/>
    <n v="3"/>
    <s v="Male"/>
    <n v="65"/>
    <n v="2"/>
    <n v="5"/>
    <x v="5"/>
    <n v="3"/>
    <s v="Married"/>
    <n v="19999"/>
    <n v="5678"/>
    <n v="0"/>
    <s v="Y"/>
    <x v="1"/>
    <n v="14"/>
    <n v="3"/>
    <n v="1"/>
    <n v="80"/>
    <n v="1"/>
    <n v="34"/>
    <n v="5"/>
    <n v="3"/>
    <n v="33"/>
    <n v="18"/>
    <n v="11"/>
    <n v="9"/>
    <x v="1"/>
    <x v="3"/>
    <x v="2"/>
  </r>
  <r>
    <n v="27"/>
    <x v="1"/>
    <s v="Travel_Rarely"/>
    <n v="894"/>
    <x v="1"/>
    <n v="9"/>
    <n v="3"/>
    <s v="Medical"/>
    <n v="1"/>
    <n v="260"/>
    <n v="4"/>
    <s v="Female"/>
    <n v="99"/>
    <n v="3"/>
    <n v="1"/>
    <x v="1"/>
    <n v="2"/>
    <s v="Single"/>
    <n v="2279"/>
    <n v="11781"/>
    <n v="1"/>
    <s v="Y"/>
    <x v="1"/>
    <n v="16"/>
    <n v="3"/>
    <n v="4"/>
    <n v="80"/>
    <n v="0"/>
    <n v="7"/>
    <n v="2"/>
    <n v="2"/>
    <n v="7"/>
    <n v="7"/>
    <n v="0"/>
    <n v="3"/>
    <x v="1"/>
    <x v="2"/>
    <x v="1"/>
  </r>
  <r>
    <n v="35"/>
    <x v="0"/>
    <s v="Travel_Rarely"/>
    <n v="556"/>
    <x v="1"/>
    <n v="23"/>
    <n v="2"/>
    <s v="Life Sciences"/>
    <n v="1"/>
    <n v="261"/>
    <n v="2"/>
    <s v="Male"/>
    <n v="50"/>
    <n v="2"/>
    <n v="2"/>
    <x v="3"/>
    <n v="3"/>
    <s v="Married"/>
    <n v="5916"/>
    <n v="15497"/>
    <n v="3"/>
    <s v="Y"/>
    <x v="0"/>
    <n v="13"/>
    <n v="3"/>
    <n v="1"/>
    <n v="80"/>
    <n v="0"/>
    <n v="8"/>
    <n v="1"/>
    <n v="3"/>
    <n v="1"/>
    <n v="0"/>
    <n v="0"/>
    <n v="1"/>
    <x v="0"/>
    <x v="1"/>
    <x v="0"/>
  </r>
  <r>
    <n v="43"/>
    <x v="1"/>
    <s v="Non-Travel"/>
    <n v="1344"/>
    <x v="1"/>
    <n v="7"/>
    <n v="3"/>
    <s v="Medical"/>
    <n v="1"/>
    <n v="262"/>
    <n v="4"/>
    <s v="Male"/>
    <n v="37"/>
    <n v="4"/>
    <n v="1"/>
    <x v="1"/>
    <n v="4"/>
    <s v="Divorced"/>
    <n v="2089"/>
    <n v="5228"/>
    <n v="4"/>
    <s v="Y"/>
    <x v="1"/>
    <n v="14"/>
    <n v="3"/>
    <n v="4"/>
    <n v="80"/>
    <n v="3"/>
    <n v="7"/>
    <n v="3"/>
    <n v="4"/>
    <n v="5"/>
    <n v="4"/>
    <n v="2"/>
    <n v="2"/>
    <x v="1"/>
    <x v="0"/>
    <x v="1"/>
  </r>
  <r>
    <n v="45"/>
    <x v="1"/>
    <s v="Non-Travel"/>
    <n v="1195"/>
    <x v="1"/>
    <n v="2"/>
    <n v="2"/>
    <s v="Medical"/>
    <n v="1"/>
    <n v="264"/>
    <n v="1"/>
    <s v="Male"/>
    <n v="65"/>
    <n v="2"/>
    <n v="4"/>
    <x v="5"/>
    <n v="4"/>
    <s v="Married"/>
    <n v="16792"/>
    <n v="20462"/>
    <n v="9"/>
    <s v="Y"/>
    <x v="1"/>
    <n v="23"/>
    <n v="4"/>
    <n v="4"/>
    <n v="80"/>
    <n v="1"/>
    <n v="22"/>
    <n v="1"/>
    <n v="3"/>
    <n v="20"/>
    <n v="8"/>
    <n v="11"/>
    <n v="8"/>
    <x v="1"/>
    <x v="0"/>
    <x v="2"/>
  </r>
  <r>
    <n v="37"/>
    <x v="1"/>
    <s v="Travel_Rarely"/>
    <n v="290"/>
    <x v="1"/>
    <n v="21"/>
    <n v="3"/>
    <s v="Life Sciences"/>
    <n v="1"/>
    <n v="267"/>
    <n v="2"/>
    <s v="Male"/>
    <n v="65"/>
    <n v="4"/>
    <n v="1"/>
    <x v="1"/>
    <n v="1"/>
    <s v="Married"/>
    <n v="3564"/>
    <n v="22977"/>
    <n v="1"/>
    <s v="Y"/>
    <x v="0"/>
    <n v="12"/>
    <n v="3"/>
    <n v="1"/>
    <n v="80"/>
    <n v="1"/>
    <n v="8"/>
    <n v="3"/>
    <n v="2"/>
    <n v="8"/>
    <n v="7"/>
    <n v="1"/>
    <n v="7"/>
    <x v="1"/>
    <x v="1"/>
    <x v="0"/>
  </r>
  <r>
    <n v="35"/>
    <x v="1"/>
    <s v="Travel_Frequently"/>
    <n v="138"/>
    <x v="1"/>
    <n v="2"/>
    <n v="3"/>
    <s v="Medical"/>
    <n v="1"/>
    <n v="269"/>
    <n v="2"/>
    <s v="Female"/>
    <n v="37"/>
    <n v="3"/>
    <n v="2"/>
    <x v="2"/>
    <n v="2"/>
    <s v="Single"/>
    <n v="4425"/>
    <n v="15986"/>
    <n v="5"/>
    <s v="Y"/>
    <x v="1"/>
    <n v="11"/>
    <n v="3"/>
    <n v="4"/>
    <n v="80"/>
    <n v="0"/>
    <n v="10"/>
    <n v="5"/>
    <n v="3"/>
    <n v="6"/>
    <n v="2"/>
    <n v="1"/>
    <n v="2"/>
    <x v="1"/>
    <x v="1"/>
    <x v="0"/>
  </r>
  <r>
    <n v="42"/>
    <x v="1"/>
    <s v="Non-Travel"/>
    <n v="926"/>
    <x v="1"/>
    <n v="21"/>
    <n v="2"/>
    <s v="Medical"/>
    <n v="1"/>
    <n v="270"/>
    <n v="3"/>
    <s v="Female"/>
    <n v="36"/>
    <n v="3"/>
    <n v="2"/>
    <x v="3"/>
    <n v="3"/>
    <s v="Divorced"/>
    <n v="5265"/>
    <n v="16439"/>
    <n v="2"/>
    <s v="Y"/>
    <x v="1"/>
    <n v="16"/>
    <n v="3"/>
    <n v="2"/>
    <n v="80"/>
    <n v="1"/>
    <n v="11"/>
    <n v="5"/>
    <n v="3"/>
    <n v="5"/>
    <n v="3"/>
    <n v="0"/>
    <n v="2"/>
    <x v="1"/>
    <x v="0"/>
    <x v="0"/>
  </r>
  <r>
    <n v="38"/>
    <x v="1"/>
    <s v="Travel_Rarely"/>
    <n v="1261"/>
    <x v="1"/>
    <n v="2"/>
    <n v="4"/>
    <s v="Life Sciences"/>
    <n v="1"/>
    <n v="271"/>
    <n v="4"/>
    <s v="Male"/>
    <n v="88"/>
    <n v="3"/>
    <n v="2"/>
    <x v="3"/>
    <n v="3"/>
    <s v="Married"/>
    <n v="6553"/>
    <n v="7259"/>
    <n v="9"/>
    <s v="Y"/>
    <x v="1"/>
    <n v="14"/>
    <n v="3"/>
    <n v="2"/>
    <n v="80"/>
    <n v="0"/>
    <n v="14"/>
    <n v="3"/>
    <n v="3"/>
    <n v="1"/>
    <n v="0"/>
    <n v="0"/>
    <n v="0"/>
    <x v="1"/>
    <x v="1"/>
    <x v="0"/>
  </r>
  <r>
    <n v="38"/>
    <x v="1"/>
    <s v="Travel_Rarely"/>
    <n v="1084"/>
    <x v="1"/>
    <n v="29"/>
    <n v="3"/>
    <s v="Technical Degree"/>
    <n v="1"/>
    <n v="273"/>
    <n v="4"/>
    <s v="Male"/>
    <n v="54"/>
    <n v="3"/>
    <n v="2"/>
    <x v="3"/>
    <n v="4"/>
    <s v="Married"/>
    <n v="6261"/>
    <n v="4185"/>
    <n v="3"/>
    <s v="Y"/>
    <x v="1"/>
    <n v="18"/>
    <n v="3"/>
    <n v="1"/>
    <n v="80"/>
    <n v="1"/>
    <n v="9"/>
    <n v="3"/>
    <n v="1"/>
    <n v="7"/>
    <n v="7"/>
    <n v="1"/>
    <n v="7"/>
    <x v="1"/>
    <x v="1"/>
    <x v="0"/>
  </r>
  <r>
    <n v="27"/>
    <x v="1"/>
    <s v="Travel_Frequently"/>
    <n v="472"/>
    <x v="1"/>
    <n v="1"/>
    <n v="1"/>
    <s v="Technical Degree"/>
    <n v="1"/>
    <n v="274"/>
    <n v="3"/>
    <s v="Male"/>
    <n v="60"/>
    <n v="2"/>
    <n v="2"/>
    <x v="3"/>
    <n v="1"/>
    <s v="Married"/>
    <n v="4298"/>
    <n v="9679"/>
    <n v="5"/>
    <s v="Y"/>
    <x v="1"/>
    <n v="19"/>
    <n v="3"/>
    <n v="3"/>
    <n v="80"/>
    <n v="1"/>
    <n v="6"/>
    <n v="1"/>
    <n v="3"/>
    <n v="2"/>
    <n v="2"/>
    <n v="2"/>
    <n v="0"/>
    <x v="1"/>
    <x v="2"/>
    <x v="0"/>
  </r>
  <r>
    <n v="49"/>
    <x v="1"/>
    <s v="Non-Travel"/>
    <n v="1002"/>
    <x v="1"/>
    <n v="18"/>
    <n v="4"/>
    <s v="Life Sciences"/>
    <n v="1"/>
    <n v="275"/>
    <n v="4"/>
    <s v="Male"/>
    <n v="92"/>
    <n v="3"/>
    <n v="2"/>
    <x v="3"/>
    <n v="4"/>
    <s v="Divorced"/>
    <n v="6804"/>
    <n v="23793"/>
    <n v="1"/>
    <s v="Y"/>
    <x v="0"/>
    <n v="15"/>
    <n v="3"/>
    <n v="1"/>
    <n v="80"/>
    <n v="2"/>
    <n v="7"/>
    <n v="0"/>
    <n v="3"/>
    <n v="7"/>
    <n v="7"/>
    <n v="1"/>
    <n v="7"/>
    <x v="1"/>
    <x v="0"/>
    <x v="0"/>
  </r>
  <r>
    <n v="34"/>
    <x v="1"/>
    <s v="Travel_Frequently"/>
    <n v="878"/>
    <x v="1"/>
    <n v="10"/>
    <n v="4"/>
    <s v="Medical"/>
    <n v="1"/>
    <n v="277"/>
    <n v="4"/>
    <s v="Male"/>
    <n v="43"/>
    <n v="3"/>
    <n v="1"/>
    <x v="1"/>
    <n v="3"/>
    <s v="Divorced"/>
    <n v="3815"/>
    <n v="5972"/>
    <n v="1"/>
    <s v="Y"/>
    <x v="0"/>
    <n v="17"/>
    <n v="3"/>
    <n v="4"/>
    <n v="80"/>
    <n v="1"/>
    <n v="5"/>
    <n v="4"/>
    <n v="4"/>
    <n v="5"/>
    <n v="3"/>
    <n v="2"/>
    <n v="0"/>
    <x v="1"/>
    <x v="1"/>
    <x v="0"/>
  </r>
  <r>
    <n v="40"/>
    <x v="1"/>
    <s v="Travel_Rarely"/>
    <n v="905"/>
    <x v="1"/>
    <n v="19"/>
    <n v="2"/>
    <s v="Medical"/>
    <n v="1"/>
    <n v="281"/>
    <n v="3"/>
    <s v="Male"/>
    <n v="99"/>
    <n v="3"/>
    <n v="2"/>
    <x v="2"/>
    <n v="4"/>
    <s v="Married"/>
    <n v="2741"/>
    <n v="16523"/>
    <n v="8"/>
    <s v="Y"/>
    <x v="0"/>
    <n v="15"/>
    <n v="3"/>
    <n v="3"/>
    <n v="80"/>
    <n v="1"/>
    <n v="15"/>
    <n v="2"/>
    <n v="4"/>
    <n v="7"/>
    <n v="2"/>
    <n v="3"/>
    <n v="7"/>
    <x v="1"/>
    <x v="0"/>
    <x v="1"/>
  </r>
  <r>
    <n v="38"/>
    <x v="0"/>
    <s v="Travel_Rarely"/>
    <n v="1180"/>
    <x v="1"/>
    <n v="29"/>
    <n v="1"/>
    <s v="Medical"/>
    <n v="1"/>
    <n v="282"/>
    <n v="2"/>
    <s v="Male"/>
    <n v="70"/>
    <n v="3"/>
    <n v="2"/>
    <x v="4"/>
    <n v="1"/>
    <s v="Married"/>
    <n v="6673"/>
    <n v="11354"/>
    <n v="7"/>
    <s v="Y"/>
    <x v="0"/>
    <n v="19"/>
    <n v="3"/>
    <n v="2"/>
    <n v="80"/>
    <n v="0"/>
    <n v="17"/>
    <n v="2"/>
    <n v="3"/>
    <n v="1"/>
    <n v="0"/>
    <n v="0"/>
    <n v="0"/>
    <x v="0"/>
    <x v="1"/>
    <x v="0"/>
  </r>
  <r>
    <n v="29"/>
    <x v="0"/>
    <s v="Travel_Rarely"/>
    <n v="121"/>
    <x v="0"/>
    <n v="27"/>
    <n v="3"/>
    <s v="Marketing"/>
    <n v="1"/>
    <n v="283"/>
    <n v="2"/>
    <s v="Female"/>
    <n v="35"/>
    <n v="3"/>
    <n v="3"/>
    <x v="0"/>
    <n v="4"/>
    <s v="Married"/>
    <n v="7639"/>
    <n v="24525"/>
    <n v="1"/>
    <s v="Y"/>
    <x v="1"/>
    <n v="22"/>
    <n v="4"/>
    <n v="4"/>
    <n v="80"/>
    <n v="3"/>
    <n v="10"/>
    <n v="3"/>
    <n v="2"/>
    <n v="10"/>
    <n v="4"/>
    <n v="1"/>
    <n v="9"/>
    <x v="0"/>
    <x v="2"/>
    <x v="2"/>
  </r>
  <r>
    <n v="22"/>
    <x v="1"/>
    <s v="Travel_Rarely"/>
    <n v="1136"/>
    <x v="1"/>
    <n v="5"/>
    <n v="3"/>
    <s v="Life Sciences"/>
    <n v="1"/>
    <n v="284"/>
    <n v="4"/>
    <s v="Male"/>
    <n v="60"/>
    <n v="4"/>
    <n v="1"/>
    <x v="1"/>
    <n v="2"/>
    <s v="Divorced"/>
    <n v="2328"/>
    <n v="12392"/>
    <n v="1"/>
    <s v="Y"/>
    <x v="0"/>
    <n v="16"/>
    <n v="3"/>
    <n v="1"/>
    <n v="80"/>
    <n v="1"/>
    <n v="4"/>
    <n v="2"/>
    <n v="2"/>
    <n v="4"/>
    <n v="2"/>
    <n v="2"/>
    <n v="2"/>
    <x v="1"/>
    <x v="2"/>
    <x v="1"/>
  </r>
  <r>
    <n v="36"/>
    <x v="1"/>
    <s v="Travel_Frequently"/>
    <n v="635"/>
    <x v="1"/>
    <n v="18"/>
    <n v="1"/>
    <s v="Medical"/>
    <n v="1"/>
    <n v="286"/>
    <n v="2"/>
    <s v="Female"/>
    <n v="73"/>
    <n v="3"/>
    <n v="1"/>
    <x v="2"/>
    <n v="4"/>
    <s v="Single"/>
    <n v="2153"/>
    <n v="7703"/>
    <n v="1"/>
    <s v="Y"/>
    <x v="1"/>
    <n v="13"/>
    <n v="3"/>
    <n v="1"/>
    <n v="80"/>
    <n v="0"/>
    <n v="8"/>
    <n v="2"/>
    <n v="3"/>
    <n v="8"/>
    <n v="1"/>
    <n v="1"/>
    <n v="7"/>
    <x v="1"/>
    <x v="1"/>
    <x v="1"/>
  </r>
  <r>
    <n v="40"/>
    <x v="1"/>
    <s v="Non-Travel"/>
    <n v="1151"/>
    <x v="1"/>
    <n v="9"/>
    <n v="5"/>
    <s v="Life Sciences"/>
    <n v="1"/>
    <n v="287"/>
    <n v="4"/>
    <s v="Male"/>
    <n v="63"/>
    <n v="2"/>
    <n v="2"/>
    <x v="4"/>
    <n v="4"/>
    <s v="Married"/>
    <n v="4876"/>
    <n v="14242"/>
    <n v="9"/>
    <s v="Y"/>
    <x v="1"/>
    <n v="14"/>
    <n v="3"/>
    <n v="4"/>
    <n v="80"/>
    <n v="1"/>
    <n v="5"/>
    <n v="5"/>
    <n v="1"/>
    <n v="3"/>
    <n v="2"/>
    <n v="0"/>
    <n v="2"/>
    <x v="1"/>
    <x v="0"/>
    <x v="0"/>
  </r>
  <r>
    <n v="46"/>
    <x v="1"/>
    <s v="Travel_Rarely"/>
    <n v="644"/>
    <x v="1"/>
    <n v="1"/>
    <n v="4"/>
    <s v="Medical"/>
    <n v="1"/>
    <n v="288"/>
    <n v="4"/>
    <s v="Male"/>
    <n v="97"/>
    <n v="3"/>
    <n v="3"/>
    <x v="4"/>
    <n v="1"/>
    <s v="Divorced"/>
    <n v="9396"/>
    <n v="12368"/>
    <n v="7"/>
    <s v="Y"/>
    <x v="1"/>
    <n v="16"/>
    <n v="3"/>
    <n v="3"/>
    <n v="80"/>
    <n v="1"/>
    <n v="17"/>
    <n v="3"/>
    <n v="3"/>
    <n v="4"/>
    <n v="2"/>
    <n v="0"/>
    <n v="3"/>
    <x v="1"/>
    <x v="0"/>
    <x v="2"/>
  </r>
  <r>
    <n v="32"/>
    <x v="0"/>
    <s v="Travel_Rarely"/>
    <n v="1045"/>
    <x v="0"/>
    <n v="4"/>
    <n v="4"/>
    <s v="Medical"/>
    <n v="1"/>
    <n v="291"/>
    <n v="4"/>
    <s v="Male"/>
    <n v="32"/>
    <n v="1"/>
    <n v="3"/>
    <x v="0"/>
    <n v="4"/>
    <s v="Married"/>
    <n v="10400"/>
    <n v="25812"/>
    <n v="1"/>
    <s v="Y"/>
    <x v="1"/>
    <n v="11"/>
    <n v="3"/>
    <n v="3"/>
    <n v="80"/>
    <n v="0"/>
    <n v="14"/>
    <n v="2"/>
    <n v="2"/>
    <n v="14"/>
    <n v="8"/>
    <n v="9"/>
    <n v="8"/>
    <x v="0"/>
    <x v="1"/>
    <x v="2"/>
  </r>
  <r>
    <n v="30"/>
    <x v="1"/>
    <s v="Non-Travel"/>
    <n v="829"/>
    <x v="1"/>
    <n v="1"/>
    <n v="1"/>
    <s v="Life Sciences"/>
    <n v="1"/>
    <n v="292"/>
    <n v="3"/>
    <s v="Male"/>
    <n v="88"/>
    <n v="2"/>
    <n v="3"/>
    <x v="3"/>
    <n v="3"/>
    <s v="Single"/>
    <n v="8474"/>
    <n v="20925"/>
    <n v="1"/>
    <s v="Y"/>
    <x v="1"/>
    <n v="22"/>
    <n v="4"/>
    <n v="3"/>
    <n v="80"/>
    <n v="0"/>
    <n v="12"/>
    <n v="2"/>
    <n v="3"/>
    <n v="11"/>
    <n v="8"/>
    <n v="5"/>
    <n v="8"/>
    <x v="1"/>
    <x v="1"/>
    <x v="2"/>
  </r>
  <r>
    <n v="27"/>
    <x v="1"/>
    <s v="Travel_Frequently"/>
    <n v="1242"/>
    <x v="0"/>
    <n v="20"/>
    <n v="3"/>
    <s v="Life Sciences"/>
    <n v="1"/>
    <n v="293"/>
    <n v="4"/>
    <s v="Female"/>
    <n v="90"/>
    <n v="3"/>
    <n v="2"/>
    <x v="0"/>
    <n v="3"/>
    <s v="Single"/>
    <n v="9981"/>
    <n v="12916"/>
    <n v="1"/>
    <s v="Y"/>
    <x v="1"/>
    <n v="14"/>
    <n v="3"/>
    <n v="4"/>
    <n v="80"/>
    <n v="0"/>
    <n v="7"/>
    <n v="2"/>
    <n v="3"/>
    <n v="7"/>
    <n v="7"/>
    <n v="0"/>
    <n v="7"/>
    <x v="1"/>
    <x v="2"/>
    <x v="2"/>
  </r>
  <r>
    <n v="51"/>
    <x v="1"/>
    <s v="Travel_Rarely"/>
    <n v="1469"/>
    <x v="1"/>
    <n v="8"/>
    <n v="4"/>
    <s v="Life Sciences"/>
    <n v="1"/>
    <n v="296"/>
    <n v="2"/>
    <s v="Male"/>
    <n v="81"/>
    <n v="2"/>
    <n v="3"/>
    <x v="7"/>
    <n v="2"/>
    <s v="Married"/>
    <n v="12490"/>
    <n v="15736"/>
    <n v="5"/>
    <s v="Y"/>
    <x v="1"/>
    <n v="16"/>
    <n v="3"/>
    <n v="4"/>
    <n v="80"/>
    <n v="2"/>
    <n v="16"/>
    <n v="5"/>
    <n v="1"/>
    <n v="10"/>
    <n v="9"/>
    <n v="4"/>
    <n v="7"/>
    <x v="1"/>
    <x v="3"/>
    <x v="2"/>
  </r>
  <r>
    <n v="30"/>
    <x v="0"/>
    <s v="Travel_Rarely"/>
    <n v="1005"/>
    <x v="1"/>
    <n v="3"/>
    <n v="3"/>
    <s v="Technical Degree"/>
    <n v="1"/>
    <n v="297"/>
    <n v="4"/>
    <s v="Female"/>
    <n v="88"/>
    <n v="3"/>
    <n v="1"/>
    <x v="1"/>
    <n v="1"/>
    <s v="Single"/>
    <n v="2657"/>
    <n v="8556"/>
    <n v="5"/>
    <s v="Y"/>
    <x v="0"/>
    <n v="11"/>
    <n v="3"/>
    <n v="3"/>
    <n v="80"/>
    <n v="0"/>
    <n v="8"/>
    <n v="5"/>
    <n v="3"/>
    <n v="5"/>
    <n v="2"/>
    <n v="0"/>
    <n v="4"/>
    <x v="0"/>
    <x v="1"/>
    <x v="1"/>
  </r>
  <r>
    <n v="41"/>
    <x v="1"/>
    <s v="Travel_Rarely"/>
    <n v="896"/>
    <x v="0"/>
    <n v="6"/>
    <n v="3"/>
    <s v="Life Sciences"/>
    <n v="1"/>
    <n v="298"/>
    <n v="4"/>
    <s v="Female"/>
    <n v="75"/>
    <n v="3"/>
    <n v="3"/>
    <x v="5"/>
    <n v="4"/>
    <s v="Single"/>
    <n v="13591"/>
    <n v="14674"/>
    <n v="3"/>
    <s v="Y"/>
    <x v="0"/>
    <n v="18"/>
    <n v="3"/>
    <n v="3"/>
    <n v="80"/>
    <n v="0"/>
    <n v="16"/>
    <n v="3"/>
    <n v="3"/>
    <n v="1"/>
    <n v="0"/>
    <n v="0"/>
    <n v="0"/>
    <x v="1"/>
    <x v="0"/>
    <x v="2"/>
  </r>
  <r>
    <n v="30"/>
    <x v="0"/>
    <s v="Travel_Frequently"/>
    <n v="334"/>
    <x v="0"/>
    <n v="26"/>
    <n v="4"/>
    <s v="Marketing"/>
    <n v="1"/>
    <n v="299"/>
    <n v="3"/>
    <s v="Female"/>
    <n v="52"/>
    <n v="2"/>
    <n v="2"/>
    <x v="0"/>
    <n v="1"/>
    <s v="Single"/>
    <n v="6696"/>
    <n v="22967"/>
    <n v="5"/>
    <s v="Y"/>
    <x v="1"/>
    <n v="15"/>
    <n v="3"/>
    <n v="3"/>
    <n v="80"/>
    <n v="0"/>
    <n v="9"/>
    <n v="5"/>
    <n v="2"/>
    <n v="6"/>
    <n v="3"/>
    <n v="0"/>
    <n v="1"/>
    <x v="0"/>
    <x v="1"/>
    <x v="0"/>
  </r>
  <r>
    <n v="29"/>
    <x v="0"/>
    <s v="Travel_Rarely"/>
    <n v="992"/>
    <x v="1"/>
    <n v="1"/>
    <n v="3"/>
    <s v="Technical Degree"/>
    <n v="1"/>
    <n v="300"/>
    <n v="3"/>
    <s v="Male"/>
    <n v="85"/>
    <n v="3"/>
    <n v="1"/>
    <x v="1"/>
    <n v="3"/>
    <s v="Single"/>
    <n v="2058"/>
    <n v="19757"/>
    <n v="0"/>
    <s v="Y"/>
    <x v="1"/>
    <n v="14"/>
    <n v="3"/>
    <n v="4"/>
    <n v="80"/>
    <n v="0"/>
    <n v="7"/>
    <n v="1"/>
    <n v="2"/>
    <n v="6"/>
    <n v="2"/>
    <n v="1"/>
    <n v="5"/>
    <x v="0"/>
    <x v="2"/>
    <x v="1"/>
  </r>
  <r>
    <n v="45"/>
    <x v="1"/>
    <s v="Non-Travel"/>
    <n v="1052"/>
    <x v="0"/>
    <n v="6"/>
    <n v="3"/>
    <s v="Medical"/>
    <n v="1"/>
    <n v="302"/>
    <n v="4"/>
    <s v="Female"/>
    <n v="57"/>
    <n v="2"/>
    <n v="3"/>
    <x v="0"/>
    <n v="4"/>
    <s v="Single"/>
    <n v="8865"/>
    <n v="16840"/>
    <n v="6"/>
    <s v="Y"/>
    <x v="1"/>
    <n v="12"/>
    <n v="3"/>
    <n v="4"/>
    <n v="80"/>
    <n v="0"/>
    <n v="23"/>
    <n v="2"/>
    <n v="3"/>
    <n v="19"/>
    <n v="7"/>
    <n v="12"/>
    <n v="8"/>
    <x v="1"/>
    <x v="0"/>
    <x v="2"/>
  </r>
  <r>
    <n v="54"/>
    <x v="1"/>
    <s v="Travel_Rarely"/>
    <n v="1147"/>
    <x v="0"/>
    <n v="3"/>
    <n v="3"/>
    <s v="Marketing"/>
    <n v="1"/>
    <n v="303"/>
    <n v="4"/>
    <s v="Female"/>
    <n v="52"/>
    <n v="3"/>
    <n v="2"/>
    <x v="0"/>
    <n v="1"/>
    <s v="Married"/>
    <n v="5940"/>
    <n v="17011"/>
    <n v="2"/>
    <s v="Y"/>
    <x v="1"/>
    <n v="14"/>
    <n v="3"/>
    <n v="4"/>
    <n v="80"/>
    <n v="1"/>
    <n v="16"/>
    <n v="4"/>
    <n v="3"/>
    <n v="6"/>
    <n v="2"/>
    <n v="0"/>
    <n v="5"/>
    <x v="1"/>
    <x v="3"/>
    <x v="0"/>
  </r>
  <r>
    <n v="36"/>
    <x v="1"/>
    <s v="Travel_Rarely"/>
    <n v="1396"/>
    <x v="1"/>
    <n v="5"/>
    <n v="2"/>
    <s v="Life Sciences"/>
    <n v="1"/>
    <n v="304"/>
    <n v="4"/>
    <s v="Male"/>
    <n v="62"/>
    <n v="3"/>
    <n v="2"/>
    <x v="2"/>
    <n v="2"/>
    <s v="Single"/>
    <n v="5914"/>
    <n v="9945"/>
    <n v="8"/>
    <s v="Y"/>
    <x v="1"/>
    <n v="16"/>
    <n v="3"/>
    <n v="4"/>
    <n v="80"/>
    <n v="0"/>
    <n v="16"/>
    <n v="3"/>
    <n v="4"/>
    <n v="13"/>
    <n v="11"/>
    <n v="3"/>
    <n v="7"/>
    <x v="1"/>
    <x v="1"/>
    <x v="0"/>
  </r>
  <r>
    <n v="33"/>
    <x v="1"/>
    <s v="Travel_Rarely"/>
    <n v="147"/>
    <x v="1"/>
    <n v="4"/>
    <n v="4"/>
    <s v="Medical"/>
    <n v="1"/>
    <n v="305"/>
    <n v="3"/>
    <s v="Female"/>
    <n v="47"/>
    <n v="2"/>
    <n v="1"/>
    <x v="1"/>
    <n v="2"/>
    <s v="Married"/>
    <n v="2622"/>
    <n v="13248"/>
    <n v="6"/>
    <s v="Y"/>
    <x v="1"/>
    <n v="21"/>
    <n v="4"/>
    <n v="4"/>
    <n v="80"/>
    <n v="0"/>
    <n v="7"/>
    <n v="3"/>
    <n v="3"/>
    <n v="3"/>
    <n v="2"/>
    <n v="1"/>
    <n v="1"/>
    <x v="1"/>
    <x v="1"/>
    <x v="1"/>
  </r>
  <r>
    <n v="37"/>
    <x v="1"/>
    <s v="Travel_Frequently"/>
    <n v="663"/>
    <x v="1"/>
    <n v="11"/>
    <n v="3"/>
    <s v="Other"/>
    <n v="1"/>
    <n v="306"/>
    <n v="2"/>
    <s v="Male"/>
    <n v="47"/>
    <n v="3"/>
    <n v="3"/>
    <x v="7"/>
    <n v="4"/>
    <s v="Divorced"/>
    <n v="12185"/>
    <n v="10056"/>
    <n v="1"/>
    <s v="Y"/>
    <x v="0"/>
    <n v="14"/>
    <n v="3"/>
    <n v="3"/>
    <n v="80"/>
    <n v="3"/>
    <n v="10"/>
    <n v="1"/>
    <n v="3"/>
    <n v="10"/>
    <n v="8"/>
    <n v="0"/>
    <n v="7"/>
    <x v="1"/>
    <x v="1"/>
    <x v="2"/>
  </r>
  <r>
    <n v="38"/>
    <x v="1"/>
    <s v="Travel_Rarely"/>
    <n v="119"/>
    <x v="0"/>
    <n v="3"/>
    <n v="3"/>
    <s v="Life Sciences"/>
    <n v="1"/>
    <n v="307"/>
    <n v="1"/>
    <s v="Male"/>
    <n v="76"/>
    <n v="3"/>
    <n v="3"/>
    <x v="0"/>
    <n v="3"/>
    <s v="Divorced"/>
    <n v="10609"/>
    <n v="9647"/>
    <n v="0"/>
    <s v="Y"/>
    <x v="1"/>
    <n v="12"/>
    <n v="3"/>
    <n v="3"/>
    <n v="80"/>
    <n v="2"/>
    <n v="17"/>
    <n v="6"/>
    <n v="2"/>
    <n v="16"/>
    <n v="10"/>
    <n v="5"/>
    <n v="13"/>
    <x v="1"/>
    <x v="1"/>
    <x v="2"/>
  </r>
  <r>
    <n v="31"/>
    <x v="1"/>
    <s v="Non-Travel"/>
    <n v="979"/>
    <x v="1"/>
    <n v="1"/>
    <n v="4"/>
    <s v="Medical"/>
    <n v="1"/>
    <n v="308"/>
    <n v="3"/>
    <s v="Male"/>
    <n v="90"/>
    <n v="1"/>
    <n v="2"/>
    <x v="3"/>
    <n v="3"/>
    <s v="Married"/>
    <n v="4345"/>
    <n v="4381"/>
    <n v="0"/>
    <s v="Y"/>
    <x v="1"/>
    <n v="12"/>
    <n v="3"/>
    <n v="4"/>
    <n v="80"/>
    <n v="1"/>
    <n v="6"/>
    <n v="2"/>
    <n v="3"/>
    <n v="5"/>
    <n v="4"/>
    <n v="1"/>
    <n v="4"/>
    <x v="1"/>
    <x v="1"/>
    <x v="0"/>
  </r>
  <r>
    <n v="59"/>
    <x v="1"/>
    <s v="Travel_Rarely"/>
    <n v="142"/>
    <x v="1"/>
    <n v="3"/>
    <n v="3"/>
    <s v="Life Sciences"/>
    <n v="1"/>
    <n v="309"/>
    <n v="3"/>
    <s v="Male"/>
    <n v="70"/>
    <n v="2"/>
    <n v="1"/>
    <x v="1"/>
    <n v="4"/>
    <s v="Married"/>
    <n v="2177"/>
    <n v="8456"/>
    <n v="3"/>
    <s v="Y"/>
    <x v="1"/>
    <n v="17"/>
    <n v="3"/>
    <n v="1"/>
    <n v="80"/>
    <n v="1"/>
    <n v="7"/>
    <n v="6"/>
    <n v="3"/>
    <n v="1"/>
    <n v="0"/>
    <n v="0"/>
    <n v="0"/>
    <x v="1"/>
    <x v="3"/>
    <x v="1"/>
  </r>
  <r>
    <n v="37"/>
    <x v="1"/>
    <s v="Travel_Frequently"/>
    <n v="319"/>
    <x v="0"/>
    <n v="4"/>
    <n v="4"/>
    <s v="Marketing"/>
    <n v="1"/>
    <n v="311"/>
    <n v="1"/>
    <s v="Male"/>
    <n v="41"/>
    <n v="3"/>
    <n v="1"/>
    <x v="6"/>
    <n v="4"/>
    <s v="Divorced"/>
    <n v="2793"/>
    <n v="2539"/>
    <n v="4"/>
    <s v="Y"/>
    <x v="1"/>
    <n v="17"/>
    <n v="3"/>
    <n v="3"/>
    <n v="80"/>
    <n v="1"/>
    <n v="13"/>
    <n v="2"/>
    <n v="3"/>
    <n v="9"/>
    <n v="8"/>
    <n v="5"/>
    <n v="8"/>
    <x v="1"/>
    <x v="1"/>
    <x v="1"/>
  </r>
  <r>
    <n v="29"/>
    <x v="1"/>
    <s v="Travel_Frequently"/>
    <n v="1413"/>
    <x v="0"/>
    <n v="1"/>
    <n v="1"/>
    <s v="Medical"/>
    <n v="1"/>
    <n v="312"/>
    <n v="2"/>
    <s v="Female"/>
    <n v="42"/>
    <n v="3"/>
    <n v="3"/>
    <x v="0"/>
    <n v="4"/>
    <s v="Married"/>
    <n v="7918"/>
    <n v="6599"/>
    <n v="1"/>
    <s v="Y"/>
    <x v="1"/>
    <n v="14"/>
    <n v="3"/>
    <n v="4"/>
    <n v="80"/>
    <n v="1"/>
    <n v="11"/>
    <n v="5"/>
    <n v="3"/>
    <n v="11"/>
    <n v="10"/>
    <n v="4"/>
    <n v="1"/>
    <x v="1"/>
    <x v="2"/>
    <x v="2"/>
  </r>
  <r>
    <n v="35"/>
    <x v="1"/>
    <s v="Travel_Frequently"/>
    <n v="944"/>
    <x v="0"/>
    <n v="1"/>
    <n v="3"/>
    <s v="Marketing"/>
    <n v="1"/>
    <n v="314"/>
    <n v="3"/>
    <s v="Female"/>
    <n v="92"/>
    <n v="3"/>
    <n v="3"/>
    <x v="0"/>
    <n v="3"/>
    <s v="Single"/>
    <n v="8789"/>
    <n v="9096"/>
    <n v="1"/>
    <s v="Y"/>
    <x v="1"/>
    <n v="14"/>
    <n v="3"/>
    <n v="1"/>
    <n v="80"/>
    <n v="0"/>
    <n v="10"/>
    <n v="3"/>
    <n v="4"/>
    <n v="10"/>
    <n v="7"/>
    <n v="0"/>
    <n v="8"/>
    <x v="1"/>
    <x v="1"/>
    <x v="2"/>
  </r>
  <r>
    <n v="29"/>
    <x v="0"/>
    <s v="Travel_Rarely"/>
    <n v="896"/>
    <x v="1"/>
    <n v="18"/>
    <n v="1"/>
    <s v="Medical"/>
    <n v="1"/>
    <n v="315"/>
    <n v="3"/>
    <s v="Male"/>
    <n v="86"/>
    <n v="2"/>
    <n v="1"/>
    <x v="1"/>
    <n v="4"/>
    <s v="Single"/>
    <n v="2389"/>
    <n v="14961"/>
    <n v="1"/>
    <s v="Y"/>
    <x v="0"/>
    <n v="13"/>
    <n v="3"/>
    <n v="3"/>
    <n v="80"/>
    <n v="0"/>
    <n v="4"/>
    <n v="3"/>
    <n v="2"/>
    <n v="4"/>
    <n v="3"/>
    <n v="0"/>
    <n v="1"/>
    <x v="0"/>
    <x v="2"/>
    <x v="1"/>
  </r>
  <r>
    <n v="52"/>
    <x v="1"/>
    <s v="Travel_Rarely"/>
    <n v="1323"/>
    <x v="1"/>
    <n v="2"/>
    <n v="3"/>
    <s v="Life Sciences"/>
    <n v="1"/>
    <n v="316"/>
    <n v="3"/>
    <s v="Female"/>
    <n v="89"/>
    <n v="2"/>
    <n v="1"/>
    <x v="2"/>
    <n v="4"/>
    <s v="Single"/>
    <n v="3212"/>
    <n v="3300"/>
    <n v="7"/>
    <s v="Y"/>
    <x v="1"/>
    <n v="15"/>
    <n v="3"/>
    <n v="2"/>
    <n v="80"/>
    <n v="0"/>
    <n v="6"/>
    <n v="3"/>
    <n v="2"/>
    <n v="2"/>
    <n v="2"/>
    <n v="2"/>
    <n v="2"/>
    <x v="1"/>
    <x v="3"/>
    <x v="0"/>
  </r>
  <r>
    <n v="42"/>
    <x v="1"/>
    <s v="Travel_Rarely"/>
    <n v="532"/>
    <x v="1"/>
    <n v="4"/>
    <n v="2"/>
    <s v="Technical Degree"/>
    <n v="1"/>
    <n v="319"/>
    <n v="3"/>
    <s v="Male"/>
    <n v="58"/>
    <n v="3"/>
    <n v="5"/>
    <x v="5"/>
    <n v="4"/>
    <s v="Married"/>
    <n v="19232"/>
    <n v="4933"/>
    <n v="1"/>
    <s v="Y"/>
    <x v="1"/>
    <n v="11"/>
    <n v="3"/>
    <n v="4"/>
    <n v="80"/>
    <n v="0"/>
    <n v="22"/>
    <n v="3"/>
    <n v="3"/>
    <n v="22"/>
    <n v="17"/>
    <n v="11"/>
    <n v="15"/>
    <x v="1"/>
    <x v="0"/>
    <x v="2"/>
  </r>
  <r>
    <n v="59"/>
    <x v="1"/>
    <s v="Travel_Rarely"/>
    <n v="818"/>
    <x v="2"/>
    <n v="6"/>
    <n v="2"/>
    <s v="Medical"/>
    <n v="1"/>
    <n v="321"/>
    <n v="2"/>
    <s v="Male"/>
    <n v="52"/>
    <n v="3"/>
    <n v="1"/>
    <x v="8"/>
    <n v="3"/>
    <s v="Married"/>
    <n v="2267"/>
    <n v="25657"/>
    <n v="8"/>
    <s v="Y"/>
    <x v="1"/>
    <n v="17"/>
    <n v="3"/>
    <n v="4"/>
    <n v="80"/>
    <n v="0"/>
    <n v="7"/>
    <n v="2"/>
    <n v="2"/>
    <n v="2"/>
    <n v="2"/>
    <n v="2"/>
    <n v="2"/>
    <x v="1"/>
    <x v="3"/>
    <x v="1"/>
  </r>
  <r>
    <n v="50"/>
    <x v="1"/>
    <s v="Travel_Rarely"/>
    <n v="854"/>
    <x v="0"/>
    <n v="1"/>
    <n v="4"/>
    <s v="Medical"/>
    <n v="1"/>
    <n v="323"/>
    <n v="4"/>
    <s v="Female"/>
    <n v="68"/>
    <n v="3"/>
    <n v="5"/>
    <x v="5"/>
    <n v="4"/>
    <s v="Divorced"/>
    <n v="19517"/>
    <n v="24118"/>
    <n v="3"/>
    <s v="Y"/>
    <x v="1"/>
    <n v="11"/>
    <n v="3"/>
    <n v="3"/>
    <n v="80"/>
    <n v="1"/>
    <n v="32"/>
    <n v="3"/>
    <n v="2"/>
    <n v="7"/>
    <n v="0"/>
    <n v="0"/>
    <n v="6"/>
    <x v="1"/>
    <x v="3"/>
    <x v="2"/>
  </r>
  <r>
    <n v="33"/>
    <x v="0"/>
    <s v="Travel_Rarely"/>
    <n v="813"/>
    <x v="1"/>
    <n v="14"/>
    <n v="3"/>
    <s v="Medical"/>
    <n v="1"/>
    <n v="325"/>
    <n v="3"/>
    <s v="Male"/>
    <n v="58"/>
    <n v="3"/>
    <n v="1"/>
    <x v="2"/>
    <n v="4"/>
    <s v="Married"/>
    <n v="2436"/>
    <n v="22149"/>
    <n v="5"/>
    <s v="Y"/>
    <x v="0"/>
    <n v="13"/>
    <n v="3"/>
    <n v="3"/>
    <n v="80"/>
    <n v="1"/>
    <n v="8"/>
    <n v="2"/>
    <n v="1"/>
    <n v="5"/>
    <n v="4"/>
    <n v="0"/>
    <n v="4"/>
    <x v="0"/>
    <x v="1"/>
    <x v="1"/>
  </r>
  <r>
    <n v="43"/>
    <x v="1"/>
    <s v="Travel_Rarely"/>
    <n v="1034"/>
    <x v="0"/>
    <n v="16"/>
    <n v="3"/>
    <s v="Marketing"/>
    <n v="1"/>
    <n v="327"/>
    <n v="4"/>
    <s v="Female"/>
    <n v="80"/>
    <n v="3"/>
    <n v="4"/>
    <x v="5"/>
    <n v="4"/>
    <s v="Married"/>
    <n v="16064"/>
    <n v="7744"/>
    <n v="5"/>
    <s v="Y"/>
    <x v="0"/>
    <n v="22"/>
    <n v="4"/>
    <n v="3"/>
    <n v="80"/>
    <n v="1"/>
    <n v="22"/>
    <n v="3"/>
    <n v="3"/>
    <n v="17"/>
    <n v="13"/>
    <n v="1"/>
    <n v="9"/>
    <x v="1"/>
    <x v="0"/>
    <x v="2"/>
  </r>
  <r>
    <n v="33"/>
    <x v="0"/>
    <s v="Travel_Rarely"/>
    <n v="465"/>
    <x v="1"/>
    <n v="2"/>
    <n v="2"/>
    <s v="Life Sciences"/>
    <n v="1"/>
    <n v="328"/>
    <n v="1"/>
    <s v="Female"/>
    <n v="39"/>
    <n v="3"/>
    <n v="1"/>
    <x v="2"/>
    <n v="1"/>
    <s v="Married"/>
    <n v="2707"/>
    <n v="21509"/>
    <n v="7"/>
    <s v="Y"/>
    <x v="1"/>
    <n v="20"/>
    <n v="4"/>
    <n v="1"/>
    <n v="80"/>
    <n v="0"/>
    <n v="13"/>
    <n v="3"/>
    <n v="4"/>
    <n v="9"/>
    <n v="7"/>
    <n v="1"/>
    <n v="7"/>
    <x v="0"/>
    <x v="1"/>
    <x v="1"/>
  </r>
  <r>
    <n v="52"/>
    <x v="1"/>
    <s v="Non-Travel"/>
    <n v="771"/>
    <x v="0"/>
    <n v="2"/>
    <n v="4"/>
    <s v="Life Sciences"/>
    <n v="1"/>
    <n v="329"/>
    <n v="1"/>
    <s v="Male"/>
    <n v="79"/>
    <n v="2"/>
    <n v="5"/>
    <x v="5"/>
    <n v="3"/>
    <s v="Single"/>
    <n v="19068"/>
    <n v="21030"/>
    <n v="1"/>
    <s v="Y"/>
    <x v="0"/>
    <n v="18"/>
    <n v="3"/>
    <n v="4"/>
    <n v="80"/>
    <n v="0"/>
    <n v="33"/>
    <n v="2"/>
    <n v="4"/>
    <n v="33"/>
    <n v="7"/>
    <n v="15"/>
    <n v="12"/>
    <x v="1"/>
    <x v="3"/>
    <x v="2"/>
  </r>
  <r>
    <n v="32"/>
    <x v="1"/>
    <s v="Travel_Rarely"/>
    <n v="1401"/>
    <x v="0"/>
    <n v="4"/>
    <n v="2"/>
    <s v="Life Sciences"/>
    <n v="1"/>
    <n v="330"/>
    <n v="3"/>
    <s v="Female"/>
    <n v="56"/>
    <n v="3"/>
    <n v="1"/>
    <x v="6"/>
    <n v="2"/>
    <s v="Married"/>
    <n v="3931"/>
    <n v="20990"/>
    <n v="2"/>
    <s v="Y"/>
    <x v="1"/>
    <n v="11"/>
    <n v="3"/>
    <n v="1"/>
    <n v="80"/>
    <n v="1"/>
    <n v="6"/>
    <n v="5"/>
    <n v="3"/>
    <n v="4"/>
    <n v="3"/>
    <n v="1"/>
    <n v="2"/>
    <x v="1"/>
    <x v="1"/>
    <x v="0"/>
  </r>
  <r>
    <n v="32"/>
    <x v="0"/>
    <s v="Travel_Rarely"/>
    <n v="515"/>
    <x v="1"/>
    <n v="1"/>
    <n v="3"/>
    <s v="Life Sciences"/>
    <n v="1"/>
    <n v="331"/>
    <n v="4"/>
    <s v="Male"/>
    <n v="62"/>
    <n v="2"/>
    <n v="1"/>
    <x v="2"/>
    <n v="3"/>
    <s v="Single"/>
    <n v="3730"/>
    <n v="9571"/>
    <n v="0"/>
    <s v="Y"/>
    <x v="0"/>
    <n v="14"/>
    <n v="3"/>
    <n v="4"/>
    <n v="80"/>
    <n v="0"/>
    <n v="4"/>
    <n v="2"/>
    <n v="1"/>
    <n v="3"/>
    <n v="2"/>
    <n v="1"/>
    <n v="2"/>
    <x v="0"/>
    <x v="1"/>
    <x v="0"/>
  </r>
  <r>
    <n v="39"/>
    <x v="1"/>
    <s v="Travel_Rarely"/>
    <n v="1431"/>
    <x v="1"/>
    <n v="1"/>
    <n v="4"/>
    <s v="Medical"/>
    <n v="1"/>
    <n v="332"/>
    <n v="3"/>
    <s v="Female"/>
    <n v="96"/>
    <n v="3"/>
    <n v="1"/>
    <x v="2"/>
    <n v="3"/>
    <s v="Divorced"/>
    <n v="2232"/>
    <n v="15417"/>
    <n v="7"/>
    <s v="Y"/>
    <x v="1"/>
    <n v="14"/>
    <n v="3"/>
    <n v="3"/>
    <n v="80"/>
    <n v="3"/>
    <n v="7"/>
    <n v="1"/>
    <n v="3"/>
    <n v="3"/>
    <n v="2"/>
    <n v="1"/>
    <n v="2"/>
    <x v="1"/>
    <x v="1"/>
    <x v="1"/>
  </r>
  <r>
    <n v="32"/>
    <x v="1"/>
    <s v="Non-Travel"/>
    <n v="976"/>
    <x v="0"/>
    <n v="26"/>
    <n v="4"/>
    <s v="Marketing"/>
    <n v="1"/>
    <n v="333"/>
    <n v="3"/>
    <s v="Male"/>
    <n v="100"/>
    <n v="3"/>
    <n v="2"/>
    <x v="0"/>
    <n v="4"/>
    <s v="Married"/>
    <n v="4465"/>
    <n v="12069"/>
    <n v="0"/>
    <s v="Y"/>
    <x v="1"/>
    <n v="18"/>
    <n v="3"/>
    <n v="1"/>
    <n v="80"/>
    <n v="0"/>
    <n v="4"/>
    <n v="2"/>
    <n v="3"/>
    <n v="3"/>
    <n v="2"/>
    <n v="2"/>
    <n v="2"/>
    <x v="1"/>
    <x v="1"/>
    <x v="0"/>
  </r>
  <r>
    <n v="41"/>
    <x v="1"/>
    <s v="Travel_Rarely"/>
    <n v="1411"/>
    <x v="1"/>
    <n v="19"/>
    <n v="2"/>
    <s v="Life Sciences"/>
    <n v="1"/>
    <n v="334"/>
    <n v="3"/>
    <s v="Male"/>
    <n v="36"/>
    <n v="3"/>
    <n v="2"/>
    <x v="1"/>
    <n v="1"/>
    <s v="Divorced"/>
    <n v="3072"/>
    <n v="19877"/>
    <n v="2"/>
    <s v="Y"/>
    <x v="1"/>
    <n v="16"/>
    <n v="3"/>
    <n v="1"/>
    <n v="80"/>
    <n v="2"/>
    <n v="17"/>
    <n v="2"/>
    <n v="2"/>
    <n v="1"/>
    <n v="0"/>
    <n v="0"/>
    <n v="0"/>
    <x v="1"/>
    <x v="0"/>
    <x v="0"/>
  </r>
  <r>
    <n v="40"/>
    <x v="1"/>
    <s v="Travel_Rarely"/>
    <n v="1300"/>
    <x v="1"/>
    <n v="24"/>
    <n v="2"/>
    <s v="Technical Degree"/>
    <n v="1"/>
    <n v="335"/>
    <n v="1"/>
    <s v="Male"/>
    <n v="62"/>
    <n v="3"/>
    <n v="2"/>
    <x v="1"/>
    <n v="4"/>
    <s v="Divorced"/>
    <n v="3319"/>
    <n v="24447"/>
    <n v="1"/>
    <s v="Y"/>
    <x v="1"/>
    <n v="17"/>
    <n v="3"/>
    <n v="1"/>
    <n v="80"/>
    <n v="2"/>
    <n v="9"/>
    <n v="3"/>
    <n v="3"/>
    <n v="9"/>
    <n v="8"/>
    <n v="4"/>
    <n v="7"/>
    <x v="1"/>
    <x v="0"/>
    <x v="0"/>
  </r>
  <r>
    <n v="45"/>
    <x v="1"/>
    <s v="Travel_Rarely"/>
    <n v="252"/>
    <x v="1"/>
    <n v="1"/>
    <n v="3"/>
    <s v="Other"/>
    <n v="1"/>
    <n v="336"/>
    <n v="3"/>
    <s v="Male"/>
    <n v="70"/>
    <n v="4"/>
    <n v="5"/>
    <x v="5"/>
    <n v="4"/>
    <s v="Married"/>
    <n v="19202"/>
    <n v="15970"/>
    <n v="0"/>
    <s v="Y"/>
    <x v="1"/>
    <n v="11"/>
    <n v="3"/>
    <n v="3"/>
    <n v="80"/>
    <n v="1"/>
    <n v="25"/>
    <n v="2"/>
    <n v="3"/>
    <n v="24"/>
    <n v="0"/>
    <n v="1"/>
    <n v="7"/>
    <x v="1"/>
    <x v="0"/>
    <x v="2"/>
  </r>
  <r>
    <n v="31"/>
    <x v="1"/>
    <s v="Travel_Frequently"/>
    <n v="1327"/>
    <x v="1"/>
    <n v="3"/>
    <n v="4"/>
    <s v="Medical"/>
    <n v="1"/>
    <n v="337"/>
    <n v="2"/>
    <s v="Male"/>
    <n v="73"/>
    <n v="3"/>
    <n v="3"/>
    <x v="7"/>
    <n v="3"/>
    <s v="Divorced"/>
    <n v="13675"/>
    <n v="13523"/>
    <n v="9"/>
    <s v="Y"/>
    <x v="1"/>
    <n v="12"/>
    <n v="3"/>
    <n v="1"/>
    <n v="80"/>
    <n v="1"/>
    <n v="9"/>
    <n v="3"/>
    <n v="3"/>
    <n v="2"/>
    <n v="2"/>
    <n v="2"/>
    <n v="2"/>
    <x v="1"/>
    <x v="1"/>
    <x v="2"/>
  </r>
  <r>
    <n v="33"/>
    <x v="1"/>
    <s v="Travel_Rarely"/>
    <n v="832"/>
    <x v="1"/>
    <n v="5"/>
    <n v="4"/>
    <s v="Life Sciences"/>
    <n v="1"/>
    <n v="338"/>
    <n v="3"/>
    <s v="Female"/>
    <n v="63"/>
    <n v="2"/>
    <n v="1"/>
    <x v="1"/>
    <n v="4"/>
    <s v="Married"/>
    <n v="2911"/>
    <n v="14776"/>
    <n v="1"/>
    <s v="Y"/>
    <x v="1"/>
    <n v="13"/>
    <n v="3"/>
    <n v="3"/>
    <n v="80"/>
    <n v="1"/>
    <n v="2"/>
    <n v="2"/>
    <n v="2"/>
    <n v="2"/>
    <n v="2"/>
    <n v="0"/>
    <n v="2"/>
    <x v="1"/>
    <x v="1"/>
    <x v="1"/>
  </r>
  <r>
    <n v="34"/>
    <x v="1"/>
    <s v="Travel_Rarely"/>
    <n v="470"/>
    <x v="1"/>
    <n v="2"/>
    <n v="4"/>
    <s v="Life Sciences"/>
    <n v="1"/>
    <n v="339"/>
    <n v="4"/>
    <s v="Male"/>
    <n v="84"/>
    <n v="2"/>
    <n v="2"/>
    <x v="3"/>
    <n v="1"/>
    <s v="Married"/>
    <n v="5957"/>
    <n v="23687"/>
    <n v="6"/>
    <s v="Y"/>
    <x v="1"/>
    <n v="13"/>
    <n v="3"/>
    <n v="2"/>
    <n v="80"/>
    <n v="1"/>
    <n v="13"/>
    <n v="3"/>
    <n v="3"/>
    <n v="11"/>
    <n v="9"/>
    <n v="5"/>
    <n v="9"/>
    <x v="1"/>
    <x v="1"/>
    <x v="0"/>
  </r>
  <r>
    <n v="37"/>
    <x v="1"/>
    <s v="Travel_Rarely"/>
    <n v="1017"/>
    <x v="1"/>
    <n v="1"/>
    <n v="2"/>
    <s v="Medical"/>
    <n v="1"/>
    <n v="340"/>
    <n v="3"/>
    <s v="Female"/>
    <n v="83"/>
    <n v="2"/>
    <n v="1"/>
    <x v="1"/>
    <n v="1"/>
    <s v="Married"/>
    <n v="3920"/>
    <n v="18697"/>
    <n v="2"/>
    <s v="Y"/>
    <x v="1"/>
    <n v="14"/>
    <n v="3"/>
    <n v="1"/>
    <n v="80"/>
    <n v="1"/>
    <n v="17"/>
    <n v="2"/>
    <n v="2"/>
    <n v="3"/>
    <n v="1"/>
    <n v="0"/>
    <n v="2"/>
    <x v="1"/>
    <x v="1"/>
    <x v="0"/>
  </r>
  <r>
    <n v="45"/>
    <x v="1"/>
    <s v="Travel_Frequently"/>
    <n v="1199"/>
    <x v="1"/>
    <n v="7"/>
    <n v="4"/>
    <s v="Life Sciences"/>
    <n v="1"/>
    <n v="341"/>
    <n v="1"/>
    <s v="Male"/>
    <n v="77"/>
    <n v="4"/>
    <n v="2"/>
    <x v="3"/>
    <n v="3"/>
    <s v="Married"/>
    <n v="6434"/>
    <n v="5118"/>
    <n v="4"/>
    <s v="Y"/>
    <x v="1"/>
    <n v="17"/>
    <n v="3"/>
    <n v="4"/>
    <n v="80"/>
    <n v="1"/>
    <n v="9"/>
    <n v="1"/>
    <n v="3"/>
    <n v="3"/>
    <n v="2"/>
    <n v="0"/>
    <n v="2"/>
    <x v="1"/>
    <x v="0"/>
    <x v="0"/>
  </r>
  <r>
    <n v="37"/>
    <x v="0"/>
    <s v="Travel_Frequently"/>
    <n v="504"/>
    <x v="1"/>
    <n v="10"/>
    <n v="3"/>
    <s v="Medical"/>
    <n v="1"/>
    <n v="342"/>
    <n v="1"/>
    <s v="Male"/>
    <n v="61"/>
    <n v="3"/>
    <n v="3"/>
    <x v="3"/>
    <n v="3"/>
    <s v="Divorced"/>
    <n v="10048"/>
    <n v="22573"/>
    <n v="6"/>
    <s v="Y"/>
    <x v="1"/>
    <n v="11"/>
    <n v="3"/>
    <n v="2"/>
    <n v="80"/>
    <n v="2"/>
    <n v="17"/>
    <n v="5"/>
    <n v="3"/>
    <n v="1"/>
    <n v="0"/>
    <n v="0"/>
    <n v="0"/>
    <x v="0"/>
    <x v="1"/>
    <x v="2"/>
  </r>
  <r>
    <n v="39"/>
    <x v="1"/>
    <s v="Travel_Frequently"/>
    <n v="505"/>
    <x v="1"/>
    <n v="2"/>
    <n v="4"/>
    <s v="Technical Degree"/>
    <n v="1"/>
    <n v="343"/>
    <n v="3"/>
    <s v="Female"/>
    <n v="64"/>
    <n v="3"/>
    <n v="3"/>
    <x v="4"/>
    <n v="3"/>
    <s v="Single"/>
    <n v="10938"/>
    <n v="6420"/>
    <n v="0"/>
    <s v="Y"/>
    <x v="1"/>
    <n v="25"/>
    <n v="4"/>
    <n v="4"/>
    <n v="80"/>
    <n v="0"/>
    <n v="20"/>
    <n v="1"/>
    <n v="3"/>
    <n v="19"/>
    <n v="6"/>
    <n v="11"/>
    <n v="8"/>
    <x v="1"/>
    <x v="1"/>
    <x v="2"/>
  </r>
  <r>
    <n v="29"/>
    <x v="1"/>
    <s v="Travel_Rarely"/>
    <n v="665"/>
    <x v="1"/>
    <n v="15"/>
    <n v="3"/>
    <s v="Life Sciences"/>
    <n v="1"/>
    <n v="346"/>
    <n v="3"/>
    <s v="Male"/>
    <n v="60"/>
    <n v="3"/>
    <n v="1"/>
    <x v="1"/>
    <n v="4"/>
    <s v="Single"/>
    <n v="2340"/>
    <n v="22673"/>
    <n v="1"/>
    <s v="Y"/>
    <x v="1"/>
    <n v="19"/>
    <n v="3"/>
    <n v="1"/>
    <n v="80"/>
    <n v="0"/>
    <n v="6"/>
    <n v="1"/>
    <n v="3"/>
    <n v="6"/>
    <n v="5"/>
    <n v="1"/>
    <n v="5"/>
    <x v="1"/>
    <x v="2"/>
    <x v="1"/>
  </r>
  <r>
    <n v="42"/>
    <x v="1"/>
    <s v="Travel_Rarely"/>
    <n v="916"/>
    <x v="1"/>
    <n v="17"/>
    <n v="2"/>
    <s v="Life Sciences"/>
    <n v="1"/>
    <n v="347"/>
    <n v="4"/>
    <s v="Female"/>
    <n v="82"/>
    <n v="4"/>
    <n v="2"/>
    <x v="1"/>
    <n v="1"/>
    <s v="Single"/>
    <n v="6545"/>
    <n v="23016"/>
    <n v="3"/>
    <s v="Y"/>
    <x v="0"/>
    <n v="13"/>
    <n v="3"/>
    <n v="3"/>
    <n v="80"/>
    <n v="0"/>
    <n v="10"/>
    <n v="1"/>
    <n v="3"/>
    <n v="3"/>
    <n v="2"/>
    <n v="0"/>
    <n v="2"/>
    <x v="1"/>
    <x v="0"/>
    <x v="0"/>
  </r>
  <r>
    <n v="29"/>
    <x v="1"/>
    <s v="Travel_Rarely"/>
    <n v="1247"/>
    <x v="0"/>
    <n v="20"/>
    <n v="2"/>
    <s v="Marketing"/>
    <n v="1"/>
    <n v="349"/>
    <n v="4"/>
    <s v="Male"/>
    <n v="45"/>
    <n v="3"/>
    <n v="2"/>
    <x v="0"/>
    <n v="4"/>
    <s v="Divorced"/>
    <n v="6931"/>
    <n v="10732"/>
    <n v="2"/>
    <s v="Y"/>
    <x v="1"/>
    <n v="14"/>
    <n v="3"/>
    <n v="4"/>
    <n v="80"/>
    <n v="1"/>
    <n v="10"/>
    <n v="2"/>
    <n v="3"/>
    <n v="3"/>
    <n v="2"/>
    <n v="0"/>
    <n v="2"/>
    <x v="1"/>
    <x v="2"/>
    <x v="0"/>
  </r>
  <r>
    <n v="25"/>
    <x v="1"/>
    <s v="Travel_Rarely"/>
    <n v="685"/>
    <x v="1"/>
    <n v="1"/>
    <n v="3"/>
    <s v="Life Sciences"/>
    <n v="1"/>
    <n v="350"/>
    <n v="1"/>
    <s v="Female"/>
    <n v="62"/>
    <n v="3"/>
    <n v="2"/>
    <x v="3"/>
    <n v="3"/>
    <s v="Married"/>
    <n v="4898"/>
    <n v="7505"/>
    <n v="0"/>
    <s v="Y"/>
    <x v="1"/>
    <n v="12"/>
    <n v="3"/>
    <n v="4"/>
    <n v="80"/>
    <n v="2"/>
    <n v="5"/>
    <n v="3"/>
    <n v="3"/>
    <n v="4"/>
    <n v="2"/>
    <n v="1"/>
    <n v="2"/>
    <x v="1"/>
    <x v="2"/>
    <x v="0"/>
  </r>
  <r>
    <n v="42"/>
    <x v="1"/>
    <s v="Travel_Rarely"/>
    <n v="269"/>
    <x v="1"/>
    <n v="2"/>
    <n v="3"/>
    <s v="Medical"/>
    <n v="1"/>
    <n v="351"/>
    <n v="4"/>
    <s v="Female"/>
    <n v="56"/>
    <n v="2"/>
    <n v="1"/>
    <x v="2"/>
    <n v="1"/>
    <s v="Divorced"/>
    <n v="2593"/>
    <n v="8007"/>
    <n v="0"/>
    <s v="Y"/>
    <x v="0"/>
    <n v="11"/>
    <n v="3"/>
    <n v="3"/>
    <n v="80"/>
    <n v="1"/>
    <n v="10"/>
    <n v="4"/>
    <n v="3"/>
    <n v="9"/>
    <n v="6"/>
    <n v="7"/>
    <n v="8"/>
    <x v="1"/>
    <x v="0"/>
    <x v="1"/>
  </r>
  <r>
    <n v="40"/>
    <x v="1"/>
    <s v="Travel_Rarely"/>
    <n v="1416"/>
    <x v="1"/>
    <n v="2"/>
    <n v="2"/>
    <s v="Medical"/>
    <n v="1"/>
    <n v="352"/>
    <n v="1"/>
    <s v="Male"/>
    <n v="49"/>
    <n v="3"/>
    <n v="5"/>
    <x v="7"/>
    <n v="3"/>
    <s v="Divorced"/>
    <n v="19436"/>
    <n v="5949"/>
    <n v="0"/>
    <s v="Y"/>
    <x v="1"/>
    <n v="19"/>
    <n v="3"/>
    <n v="4"/>
    <n v="80"/>
    <n v="1"/>
    <n v="22"/>
    <n v="5"/>
    <n v="3"/>
    <n v="21"/>
    <n v="7"/>
    <n v="3"/>
    <n v="9"/>
    <x v="1"/>
    <x v="0"/>
    <x v="2"/>
  </r>
  <r>
    <n v="51"/>
    <x v="1"/>
    <s v="Travel_Rarely"/>
    <n v="833"/>
    <x v="1"/>
    <n v="1"/>
    <n v="3"/>
    <s v="Life Sciences"/>
    <n v="1"/>
    <n v="353"/>
    <n v="3"/>
    <s v="Male"/>
    <n v="96"/>
    <n v="3"/>
    <n v="1"/>
    <x v="1"/>
    <n v="4"/>
    <s v="Married"/>
    <n v="2723"/>
    <n v="23231"/>
    <n v="1"/>
    <s v="Y"/>
    <x v="1"/>
    <n v="11"/>
    <n v="3"/>
    <n v="2"/>
    <n v="80"/>
    <n v="0"/>
    <n v="1"/>
    <n v="0"/>
    <n v="2"/>
    <n v="1"/>
    <n v="0"/>
    <n v="0"/>
    <n v="0"/>
    <x v="1"/>
    <x v="3"/>
    <x v="1"/>
  </r>
  <r>
    <n v="31"/>
    <x v="0"/>
    <s v="Travel_Frequently"/>
    <n v="307"/>
    <x v="1"/>
    <n v="29"/>
    <n v="2"/>
    <s v="Medical"/>
    <n v="1"/>
    <n v="355"/>
    <n v="3"/>
    <s v="Male"/>
    <n v="71"/>
    <n v="2"/>
    <n v="1"/>
    <x v="2"/>
    <n v="2"/>
    <s v="Single"/>
    <n v="3479"/>
    <n v="11652"/>
    <n v="0"/>
    <s v="Y"/>
    <x v="1"/>
    <n v="11"/>
    <n v="3"/>
    <n v="2"/>
    <n v="80"/>
    <n v="0"/>
    <n v="6"/>
    <n v="2"/>
    <n v="4"/>
    <n v="5"/>
    <n v="4"/>
    <n v="1"/>
    <n v="4"/>
    <x v="0"/>
    <x v="1"/>
    <x v="0"/>
  </r>
  <r>
    <n v="32"/>
    <x v="1"/>
    <s v="Travel_Frequently"/>
    <n v="1311"/>
    <x v="1"/>
    <n v="7"/>
    <n v="3"/>
    <s v="Life Sciences"/>
    <n v="1"/>
    <n v="359"/>
    <n v="2"/>
    <s v="Male"/>
    <n v="100"/>
    <n v="4"/>
    <n v="1"/>
    <x v="2"/>
    <n v="2"/>
    <s v="Married"/>
    <n v="2794"/>
    <n v="26062"/>
    <n v="1"/>
    <s v="Y"/>
    <x v="1"/>
    <n v="20"/>
    <n v="4"/>
    <n v="3"/>
    <n v="80"/>
    <n v="0"/>
    <n v="5"/>
    <n v="3"/>
    <n v="1"/>
    <n v="5"/>
    <n v="1"/>
    <n v="0"/>
    <n v="3"/>
    <x v="1"/>
    <x v="1"/>
    <x v="1"/>
  </r>
  <r>
    <n v="38"/>
    <x v="1"/>
    <s v="Non-Travel"/>
    <n v="1327"/>
    <x v="0"/>
    <n v="2"/>
    <n v="2"/>
    <s v="Life Sciences"/>
    <n v="1"/>
    <n v="361"/>
    <n v="4"/>
    <s v="Male"/>
    <n v="39"/>
    <n v="2"/>
    <n v="2"/>
    <x v="0"/>
    <n v="4"/>
    <s v="Married"/>
    <n v="5249"/>
    <n v="19682"/>
    <n v="3"/>
    <s v="Y"/>
    <x v="1"/>
    <n v="18"/>
    <n v="3"/>
    <n v="4"/>
    <n v="80"/>
    <n v="1"/>
    <n v="13"/>
    <n v="0"/>
    <n v="3"/>
    <n v="8"/>
    <n v="7"/>
    <n v="7"/>
    <n v="5"/>
    <x v="1"/>
    <x v="1"/>
    <x v="0"/>
  </r>
  <r>
    <n v="32"/>
    <x v="1"/>
    <s v="Travel_Rarely"/>
    <n v="128"/>
    <x v="1"/>
    <n v="2"/>
    <n v="1"/>
    <s v="Technical Degree"/>
    <n v="1"/>
    <n v="362"/>
    <n v="4"/>
    <s v="Male"/>
    <n v="84"/>
    <n v="2"/>
    <n v="2"/>
    <x v="2"/>
    <n v="1"/>
    <s v="Single"/>
    <n v="2176"/>
    <n v="19737"/>
    <n v="4"/>
    <s v="Y"/>
    <x v="1"/>
    <n v="13"/>
    <n v="3"/>
    <n v="4"/>
    <n v="80"/>
    <n v="0"/>
    <n v="9"/>
    <n v="5"/>
    <n v="3"/>
    <n v="6"/>
    <n v="2"/>
    <n v="0"/>
    <n v="4"/>
    <x v="1"/>
    <x v="1"/>
    <x v="1"/>
  </r>
  <r>
    <n v="46"/>
    <x v="1"/>
    <s v="Travel_Rarely"/>
    <n v="488"/>
    <x v="0"/>
    <n v="2"/>
    <n v="3"/>
    <s v="Technical Degree"/>
    <n v="1"/>
    <n v="363"/>
    <n v="3"/>
    <s v="Female"/>
    <n v="75"/>
    <n v="1"/>
    <n v="4"/>
    <x v="5"/>
    <n v="2"/>
    <s v="Married"/>
    <n v="16872"/>
    <n v="14977"/>
    <n v="3"/>
    <s v="Y"/>
    <x v="0"/>
    <n v="12"/>
    <n v="3"/>
    <n v="2"/>
    <n v="80"/>
    <n v="1"/>
    <n v="28"/>
    <n v="2"/>
    <n v="2"/>
    <n v="7"/>
    <n v="7"/>
    <n v="7"/>
    <n v="7"/>
    <x v="1"/>
    <x v="0"/>
    <x v="2"/>
  </r>
  <r>
    <n v="28"/>
    <x v="0"/>
    <s v="Travel_Rarely"/>
    <n v="529"/>
    <x v="1"/>
    <n v="2"/>
    <n v="4"/>
    <s v="Life Sciences"/>
    <n v="1"/>
    <n v="364"/>
    <n v="1"/>
    <s v="Male"/>
    <n v="79"/>
    <n v="3"/>
    <n v="1"/>
    <x v="2"/>
    <n v="3"/>
    <s v="Single"/>
    <n v="3485"/>
    <n v="14935"/>
    <n v="2"/>
    <s v="Y"/>
    <x v="1"/>
    <n v="11"/>
    <n v="3"/>
    <n v="3"/>
    <n v="80"/>
    <n v="0"/>
    <n v="5"/>
    <n v="5"/>
    <n v="1"/>
    <n v="0"/>
    <n v="0"/>
    <n v="0"/>
    <n v="0"/>
    <x v="0"/>
    <x v="2"/>
    <x v="0"/>
  </r>
  <r>
    <n v="29"/>
    <x v="1"/>
    <s v="Travel_Rarely"/>
    <n v="1210"/>
    <x v="0"/>
    <n v="2"/>
    <n v="3"/>
    <s v="Medical"/>
    <n v="1"/>
    <n v="366"/>
    <n v="1"/>
    <s v="Male"/>
    <n v="78"/>
    <n v="2"/>
    <n v="2"/>
    <x v="0"/>
    <n v="2"/>
    <s v="Married"/>
    <n v="6644"/>
    <n v="3687"/>
    <n v="2"/>
    <s v="Y"/>
    <x v="1"/>
    <n v="19"/>
    <n v="3"/>
    <n v="2"/>
    <n v="80"/>
    <n v="2"/>
    <n v="10"/>
    <n v="2"/>
    <n v="3"/>
    <n v="0"/>
    <n v="0"/>
    <n v="0"/>
    <n v="0"/>
    <x v="1"/>
    <x v="2"/>
    <x v="0"/>
  </r>
  <r>
    <n v="31"/>
    <x v="1"/>
    <s v="Travel_Rarely"/>
    <n v="1463"/>
    <x v="1"/>
    <n v="23"/>
    <n v="3"/>
    <s v="Medical"/>
    <n v="1"/>
    <n v="367"/>
    <n v="2"/>
    <s v="Male"/>
    <n v="64"/>
    <n v="2"/>
    <n v="2"/>
    <x v="4"/>
    <n v="4"/>
    <s v="Married"/>
    <n v="5582"/>
    <n v="14408"/>
    <n v="0"/>
    <s v="Y"/>
    <x v="1"/>
    <n v="21"/>
    <n v="4"/>
    <n v="2"/>
    <n v="80"/>
    <n v="1"/>
    <n v="10"/>
    <n v="2"/>
    <n v="3"/>
    <n v="9"/>
    <n v="0"/>
    <n v="7"/>
    <n v="8"/>
    <x v="1"/>
    <x v="1"/>
    <x v="0"/>
  </r>
  <r>
    <n v="25"/>
    <x v="1"/>
    <s v="Non-Travel"/>
    <n v="675"/>
    <x v="1"/>
    <n v="5"/>
    <n v="2"/>
    <s v="Life Sciences"/>
    <n v="1"/>
    <n v="369"/>
    <n v="2"/>
    <s v="Male"/>
    <n v="85"/>
    <n v="4"/>
    <n v="2"/>
    <x v="4"/>
    <n v="1"/>
    <s v="Divorced"/>
    <n v="4000"/>
    <n v="18384"/>
    <n v="1"/>
    <s v="Y"/>
    <x v="1"/>
    <n v="12"/>
    <n v="3"/>
    <n v="4"/>
    <n v="80"/>
    <n v="2"/>
    <n v="6"/>
    <n v="2"/>
    <n v="3"/>
    <n v="6"/>
    <n v="3"/>
    <n v="1"/>
    <n v="5"/>
    <x v="1"/>
    <x v="2"/>
    <x v="0"/>
  </r>
  <r>
    <n v="45"/>
    <x v="1"/>
    <s v="Travel_Rarely"/>
    <n v="1385"/>
    <x v="1"/>
    <n v="20"/>
    <n v="2"/>
    <s v="Medical"/>
    <n v="1"/>
    <n v="372"/>
    <n v="3"/>
    <s v="Male"/>
    <n v="79"/>
    <n v="3"/>
    <n v="4"/>
    <x v="4"/>
    <n v="4"/>
    <s v="Married"/>
    <n v="13496"/>
    <n v="7501"/>
    <n v="0"/>
    <s v="Y"/>
    <x v="0"/>
    <n v="14"/>
    <n v="3"/>
    <n v="2"/>
    <n v="80"/>
    <n v="0"/>
    <n v="21"/>
    <n v="2"/>
    <n v="3"/>
    <n v="20"/>
    <n v="7"/>
    <n v="4"/>
    <n v="10"/>
    <x v="1"/>
    <x v="0"/>
    <x v="2"/>
  </r>
  <r>
    <n v="36"/>
    <x v="1"/>
    <s v="Travel_Rarely"/>
    <n v="1403"/>
    <x v="1"/>
    <n v="6"/>
    <n v="3"/>
    <s v="Life Sciences"/>
    <n v="1"/>
    <n v="373"/>
    <n v="4"/>
    <s v="Male"/>
    <n v="47"/>
    <n v="3"/>
    <n v="1"/>
    <x v="2"/>
    <n v="4"/>
    <s v="Married"/>
    <n v="3210"/>
    <n v="20251"/>
    <n v="0"/>
    <s v="Y"/>
    <x v="1"/>
    <n v="11"/>
    <n v="3"/>
    <n v="3"/>
    <n v="80"/>
    <n v="1"/>
    <n v="16"/>
    <n v="4"/>
    <n v="3"/>
    <n v="15"/>
    <n v="13"/>
    <n v="10"/>
    <n v="11"/>
    <x v="1"/>
    <x v="1"/>
    <x v="0"/>
  </r>
  <r>
    <n v="55"/>
    <x v="1"/>
    <s v="Travel_Rarely"/>
    <n v="452"/>
    <x v="1"/>
    <n v="1"/>
    <n v="3"/>
    <s v="Medical"/>
    <n v="1"/>
    <n v="374"/>
    <n v="4"/>
    <s v="Male"/>
    <n v="81"/>
    <n v="3"/>
    <n v="5"/>
    <x v="5"/>
    <n v="1"/>
    <s v="Single"/>
    <n v="19045"/>
    <n v="18938"/>
    <n v="0"/>
    <s v="Y"/>
    <x v="0"/>
    <n v="14"/>
    <n v="3"/>
    <n v="3"/>
    <n v="80"/>
    <n v="0"/>
    <n v="37"/>
    <n v="2"/>
    <n v="3"/>
    <n v="36"/>
    <n v="10"/>
    <n v="4"/>
    <n v="13"/>
    <x v="1"/>
    <x v="3"/>
    <x v="2"/>
  </r>
  <r>
    <n v="47"/>
    <x v="0"/>
    <s v="Non-Travel"/>
    <n v="666"/>
    <x v="1"/>
    <n v="29"/>
    <n v="4"/>
    <s v="Life Sciences"/>
    <n v="1"/>
    <n v="376"/>
    <n v="1"/>
    <s v="Male"/>
    <n v="88"/>
    <n v="3"/>
    <n v="3"/>
    <x v="5"/>
    <n v="2"/>
    <s v="Married"/>
    <n v="11849"/>
    <n v="10268"/>
    <n v="1"/>
    <s v="Y"/>
    <x v="0"/>
    <n v="12"/>
    <n v="3"/>
    <n v="4"/>
    <n v="80"/>
    <n v="1"/>
    <n v="10"/>
    <n v="2"/>
    <n v="2"/>
    <n v="10"/>
    <n v="7"/>
    <n v="9"/>
    <n v="9"/>
    <x v="0"/>
    <x v="0"/>
    <x v="2"/>
  </r>
  <r>
    <n v="28"/>
    <x v="1"/>
    <s v="Travel_Rarely"/>
    <n v="1158"/>
    <x v="1"/>
    <n v="9"/>
    <n v="3"/>
    <s v="Medical"/>
    <n v="1"/>
    <n v="377"/>
    <n v="4"/>
    <s v="Male"/>
    <n v="94"/>
    <n v="3"/>
    <n v="1"/>
    <x v="1"/>
    <n v="4"/>
    <s v="Married"/>
    <n v="2070"/>
    <n v="2613"/>
    <n v="1"/>
    <s v="Y"/>
    <x v="1"/>
    <n v="23"/>
    <n v="4"/>
    <n v="4"/>
    <n v="80"/>
    <n v="1"/>
    <n v="5"/>
    <n v="3"/>
    <n v="2"/>
    <n v="5"/>
    <n v="2"/>
    <n v="0"/>
    <n v="4"/>
    <x v="1"/>
    <x v="2"/>
    <x v="1"/>
  </r>
  <r>
    <n v="37"/>
    <x v="1"/>
    <s v="Travel_Rarely"/>
    <n v="228"/>
    <x v="0"/>
    <n v="6"/>
    <n v="4"/>
    <s v="Medical"/>
    <n v="1"/>
    <n v="378"/>
    <n v="3"/>
    <s v="Male"/>
    <n v="98"/>
    <n v="3"/>
    <n v="2"/>
    <x v="0"/>
    <n v="4"/>
    <s v="Married"/>
    <n v="6502"/>
    <n v="22825"/>
    <n v="4"/>
    <s v="Y"/>
    <x v="1"/>
    <n v="14"/>
    <n v="3"/>
    <n v="2"/>
    <n v="80"/>
    <n v="1"/>
    <n v="7"/>
    <n v="5"/>
    <n v="4"/>
    <n v="5"/>
    <n v="4"/>
    <n v="0"/>
    <n v="1"/>
    <x v="1"/>
    <x v="1"/>
    <x v="0"/>
  </r>
  <r>
    <n v="21"/>
    <x v="1"/>
    <s v="Travel_Rarely"/>
    <n v="996"/>
    <x v="1"/>
    <n v="3"/>
    <n v="2"/>
    <s v="Medical"/>
    <n v="1"/>
    <n v="379"/>
    <n v="4"/>
    <s v="Male"/>
    <n v="100"/>
    <n v="2"/>
    <n v="1"/>
    <x v="1"/>
    <n v="3"/>
    <s v="Single"/>
    <n v="3230"/>
    <n v="10531"/>
    <n v="1"/>
    <s v="Y"/>
    <x v="1"/>
    <n v="17"/>
    <n v="3"/>
    <n v="1"/>
    <n v="80"/>
    <n v="0"/>
    <n v="3"/>
    <n v="4"/>
    <n v="4"/>
    <n v="3"/>
    <n v="2"/>
    <n v="1"/>
    <n v="0"/>
    <x v="1"/>
    <x v="2"/>
    <x v="0"/>
  </r>
  <r>
    <n v="37"/>
    <x v="1"/>
    <s v="Non-Travel"/>
    <n v="728"/>
    <x v="1"/>
    <n v="1"/>
    <n v="4"/>
    <s v="Medical"/>
    <n v="1"/>
    <n v="380"/>
    <n v="1"/>
    <s v="Female"/>
    <n v="80"/>
    <n v="3"/>
    <n v="3"/>
    <x v="7"/>
    <n v="4"/>
    <s v="Divorced"/>
    <n v="13603"/>
    <n v="11677"/>
    <n v="2"/>
    <s v="Y"/>
    <x v="0"/>
    <n v="18"/>
    <n v="3"/>
    <n v="1"/>
    <n v="80"/>
    <n v="2"/>
    <n v="15"/>
    <n v="2"/>
    <n v="3"/>
    <n v="5"/>
    <n v="2"/>
    <n v="0"/>
    <n v="2"/>
    <x v="1"/>
    <x v="1"/>
    <x v="2"/>
  </r>
  <r>
    <n v="35"/>
    <x v="1"/>
    <s v="Travel_Rarely"/>
    <n v="1315"/>
    <x v="1"/>
    <n v="22"/>
    <n v="3"/>
    <s v="Life Sciences"/>
    <n v="1"/>
    <n v="381"/>
    <n v="2"/>
    <s v="Female"/>
    <n v="71"/>
    <n v="4"/>
    <n v="3"/>
    <x v="5"/>
    <n v="2"/>
    <s v="Divorced"/>
    <n v="11996"/>
    <n v="19100"/>
    <n v="7"/>
    <s v="Y"/>
    <x v="1"/>
    <n v="18"/>
    <n v="3"/>
    <n v="2"/>
    <n v="80"/>
    <n v="1"/>
    <n v="10"/>
    <n v="6"/>
    <n v="2"/>
    <n v="7"/>
    <n v="7"/>
    <n v="6"/>
    <n v="2"/>
    <x v="1"/>
    <x v="1"/>
    <x v="2"/>
  </r>
  <r>
    <n v="38"/>
    <x v="1"/>
    <s v="Travel_Rarely"/>
    <n v="322"/>
    <x v="0"/>
    <n v="7"/>
    <n v="2"/>
    <s v="Medical"/>
    <n v="1"/>
    <n v="382"/>
    <n v="1"/>
    <s v="Female"/>
    <n v="44"/>
    <n v="4"/>
    <n v="2"/>
    <x v="0"/>
    <n v="1"/>
    <s v="Divorced"/>
    <n v="5605"/>
    <n v="19191"/>
    <n v="1"/>
    <s v="Y"/>
    <x v="0"/>
    <n v="24"/>
    <n v="4"/>
    <n v="3"/>
    <n v="80"/>
    <n v="1"/>
    <n v="8"/>
    <n v="3"/>
    <n v="3"/>
    <n v="8"/>
    <n v="0"/>
    <n v="7"/>
    <n v="7"/>
    <x v="1"/>
    <x v="1"/>
    <x v="0"/>
  </r>
  <r>
    <n v="26"/>
    <x v="1"/>
    <s v="Travel_Frequently"/>
    <n v="1479"/>
    <x v="1"/>
    <n v="1"/>
    <n v="3"/>
    <s v="Life Sciences"/>
    <n v="1"/>
    <n v="384"/>
    <n v="3"/>
    <s v="Female"/>
    <n v="84"/>
    <n v="3"/>
    <n v="2"/>
    <x v="3"/>
    <n v="2"/>
    <s v="Divorced"/>
    <n v="6397"/>
    <n v="26767"/>
    <n v="1"/>
    <s v="Y"/>
    <x v="1"/>
    <n v="20"/>
    <n v="4"/>
    <n v="1"/>
    <n v="80"/>
    <n v="1"/>
    <n v="6"/>
    <n v="6"/>
    <n v="1"/>
    <n v="6"/>
    <n v="5"/>
    <n v="1"/>
    <n v="4"/>
    <x v="1"/>
    <x v="2"/>
    <x v="0"/>
  </r>
  <r>
    <n v="50"/>
    <x v="1"/>
    <s v="Travel_Rarely"/>
    <n v="797"/>
    <x v="1"/>
    <n v="4"/>
    <n v="1"/>
    <s v="Life Sciences"/>
    <n v="1"/>
    <n v="385"/>
    <n v="1"/>
    <s v="Male"/>
    <n v="96"/>
    <n v="3"/>
    <n v="5"/>
    <x v="7"/>
    <n v="2"/>
    <s v="Divorced"/>
    <n v="19144"/>
    <n v="15815"/>
    <n v="3"/>
    <s v="Y"/>
    <x v="1"/>
    <n v="14"/>
    <n v="3"/>
    <n v="1"/>
    <n v="80"/>
    <n v="2"/>
    <n v="28"/>
    <n v="4"/>
    <n v="2"/>
    <n v="10"/>
    <n v="4"/>
    <n v="1"/>
    <n v="6"/>
    <x v="1"/>
    <x v="3"/>
    <x v="2"/>
  </r>
  <r>
    <n v="53"/>
    <x v="1"/>
    <s v="Travel_Rarely"/>
    <n v="1070"/>
    <x v="1"/>
    <n v="3"/>
    <n v="4"/>
    <s v="Medical"/>
    <n v="1"/>
    <n v="386"/>
    <n v="3"/>
    <s v="Male"/>
    <n v="45"/>
    <n v="3"/>
    <n v="4"/>
    <x v="7"/>
    <n v="3"/>
    <s v="Married"/>
    <n v="17584"/>
    <n v="21016"/>
    <n v="3"/>
    <s v="Y"/>
    <x v="0"/>
    <n v="16"/>
    <n v="3"/>
    <n v="4"/>
    <n v="80"/>
    <n v="3"/>
    <n v="21"/>
    <n v="5"/>
    <n v="2"/>
    <n v="5"/>
    <n v="3"/>
    <n v="1"/>
    <n v="3"/>
    <x v="1"/>
    <x v="3"/>
    <x v="2"/>
  </r>
  <r>
    <n v="42"/>
    <x v="1"/>
    <s v="Travel_Rarely"/>
    <n v="635"/>
    <x v="0"/>
    <n v="1"/>
    <n v="1"/>
    <s v="Life Sciences"/>
    <n v="1"/>
    <n v="387"/>
    <n v="2"/>
    <s v="Male"/>
    <n v="99"/>
    <n v="3"/>
    <n v="2"/>
    <x v="0"/>
    <n v="3"/>
    <s v="Married"/>
    <n v="4907"/>
    <n v="24532"/>
    <n v="1"/>
    <s v="Y"/>
    <x v="1"/>
    <n v="25"/>
    <n v="4"/>
    <n v="3"/>
    <n v="80"/>
    <n v="0"/>
    <n v="20"/>
    <n v="3"/>
    <n v="3"/>
    <n v="20"/>
    <n v="16"/>
    <n v="11"/>
    <n v="6"/>
    <x v="1"/>
    <x v="0"/>
    <x v="0"/>
  </r>
  <r>
    <n v="29"/>
    <x v="1"/>
    <s v="Travel_Frequently"/>
    <n v="442"/>
    <x v="0"/>
    <n v="2"/>
    <n v="2"/>
    <s v="Life Sciences"/>
    <n v="1"/>
    <n v="388"/>
    <n v="2"/>
    <s v="Male"/>
    <n v="44"/>
    <n v="3"/>
    <n v="2"/>
    <x v="0"/>
    <n v="4"/>
    <s v="Single"/>
    <n v="4554"/>
    <n v="20260"/>
    <n v="1"/>
    <s v="Y"/>
    <x v="1"/>
    <n v="18"/>
    <n v="3"/>
    <n v="1"/>
    <n v="80"/>
    <n v="0"/>
    <n v="10"/>
    <n v="3"/>
    <n v="2"/>
    <n v="10"/>
    <n v="7"/>
    <n v="0"/>
    <n v="9"/>
    <x v="1"/>
    <x v="2"/>
    <x v="0"/>
  </r>
  <r>
    <n v="55"/>
    <x v="1"/>
    <s v="Travel_Rarely"/>
    <n v="147"/>
    <x v="1"/>
    <n v="20"/>
    <n v="2"/>
    <s v="Technical Degree"/>
    <n v="1"/>
    <n v="389"/>
    <n v="2"/>
    <s v="Male"/>
    <n v="37"/>
    <n v="3"/>
    <n v="2"/>
    <x v="2"/>
    <n v="4"/>
    <s v="Married"/>
    <n v="5415"/>
    <n v="15972"/>
    <n v="3"/>
    <s v="Y"/>
    <x v="0"/>
    <n v="19"/>
    <n v="3"/>
    <n v="4"/>
    <n v="80"/>
    <n v="1"/>
    <n v="12"/>
    <n v="4"/>
    <n v="3"/>
    <n v="10"/>
    <n v="7"/>
    <n v="0"/>
    <n v="8"/>
    <x v="1"/>
    <x v="3"/>
    <x v="0"/>
  </r>
  <r>
    <n v="26"/>
    <x v="1"/>
    <s v="Travel_Frequently"/>
    <n v="496"/>
    <x v="1"/>
    <n v="11"/>
    <n v="2"/>
    <s v="Medical"/>
    <n v="1"/>
    <n v="390"/>
    <n v="1"/>
    <s v="Male"/>
    <n v="60"/>
    <n v="3"/>
    <n v="2"/>
    <x v="4"/>
    <n v="1"/>
    <s v="Married"/>
    <n v="4741"/>
    <n v="22722"/>
    <n v="1"/>
    <s v="Y"/>
    <x v="0"/>
    <n v="13"/>
    <n v="3"/>
    <n v="3"/>
    <n v="80"/>
    <n v="1"/>
    <n v="5"/>
    <n v="3"/>
    <n v="3"/>
    <n v="5"/>
    <n v="3"/>
    <n v="3"/>
    <n v="3"/>
    <x v="1"/>
    <x v="2"/>
    <x v="0"/>
  </r>
  <r>
    <n v="37"/>
    <x v="1"/>
    <s v="Travel_Rarely"/>
    <n v="1372"/>
    <x v="1"/>
    <n v="1"/>
    <n v="3"/>
    <s v="Life Sciences"/>
    <n v="1"/>
    <n v="391"/>
    <n v="4"/>
    <s v="Female"/>
    <n v="42"/>
    <n v="3"/>
    <n v="1"/>
    <x v="1"/>
    <n v="4"/>
    <s v="Single"/>
    <n v="2115"/>
    <n v="15881"/>
    <n v="1"/>
    <s v="Y"/>
    <x v="1"/>
    <n v="12"/>
    <n v="3"/>
    <n v="2"/>
    <n v="80"/>
    <n v="0"/>
    <n v="17"/>
    <n v="3"/>
    <n v="3"/>
    <n v="17"/>
    <n v="12"/>
    <n v="5"/>
    <n v="7"/>
    <x v="1"/>
    <x v="1"/>
    <x v="1"/>
  </r>
  <r>
    <n v="44"/>
    <x v="0"/>
    <s v="Travel_Frequently"/>
    <n v="920"/>
    <x v="1"/>
    <n v="24"/>
    <n v="3"/>
    <s v="Life Sciences"/>
    <n v="1"/>
    <n v="392"/>
    <n v="4"/>
    <s v="Male"/>
    <n v="43"/>
    <n v="3"/>
    <n v="1"/>
    <x v="2"/>
    <n v="3"/>
    <s v="Divorced"/>
    <n v="3161"/>
    <n v="19920"/>
    <n v="3"/>
    <s v="Y"/>
    <x v="0"/>
    <n v="22"/>
    <n v="4"/>
    <n v="4"/>
    <n v="80"/>
    <n v="1"/>
    <n v="19"/>
    <n v="0"/>
    <n v="1"/>
    <n v="1"/>
    <n v="0"/>
    <n v="0"/>
    <n v="0"/>
    <x v="0"/>
    <x v="0"/>
    <x v="0"/>
  </r>
  <r>
    <n v="38"/>
    <x v="1"/>
    <s v="Travel_Rarely"/>
    <n v="688"/>
    <x v="1"/>
    <n v="23"/>
    <n v="4"/>
    <s v="Life Sciences"/>
    <n v="1"/>
    <n v="393"/>
    <n v="4"/>
    <s v="Male"/>
    <n v="82"/>
    <n v="3"/>
    <n v="2"/>
    <x v="4"/>
    <n v="4"/>
    <s v="Divorced"/>
    <n v="5745"/>
    <n v="18899"/>
    <n v="9"/>
    <s v="Y"/>
    <x v="1"/>
    <n v="14"/>
    <n v="3"/>
    <n v="2"/>
    <n v="80"/>
    <n v="1"/>
    <n v="10"/>
    <n v="2"/>
    <n v="3"/>
    <n v="2"/>
    <n v="2"/>
    <n v="1"/>
    <n v="2"/>
    <x v="1"/>
    <x v="1"/>
    <x v="0"/>
  </r>
  <r>
    <n v="26"/>
    <x v="0"/>
    <s v="Travel_Rarely"/>
    <n v="1449"/>
    <x v="1"/>
    <n v="16"/>
    <n v="4"/>
    <s v="Medical"/>
    <n v="1"/>
    <n v="394"/>
    <n v="1"/>
    <s v="Male"/>
    <n v="45"/>
    <n v="3"/>
    <n v="1"/>
    <x v="2"/>
    <n v="2"/>
    <s v="Divorced"/>
    <n v="2373"/>
    <n v="14180"/>
    <n v="2"/>
    <s v="Y"/>
    <x v="0"/>
    <n v="13"/>
    <n v="3"/>
    <n v="4"/>
    <n v="80"/>
    <n v="1"/>
    <n v="5"/>
    <n v="2"/>
    <n v="3"/>
    <n v="3"/>
    <n v="2"/>
    <n v="0"/>
    <n v="2"/>
    <x v="0"/>
    <x v="2"/>
    <x v="1"/>
  </r>
  <r>
    <n v="28"/>
    <x v="1"/>
    <s v="Travel_Rarely"/>
    <n v="1117"/>
    <x v="1"/>
    <n v="8"/>
    <n v="2"/>
    <s v="Life Sciences"/>
    <n v="1"/>
    <n v="395"/>
    <n v="4"/>
    <s v="Female"/>
    <n v="66"/>
    <n v="3"/>
    <n v="1"/>
    <x v="1"/>
    <n v="4"/>
    <s v="Single"/>
    <n v="3310"/>
    <n v="4488"/>
    <n v="1"/>
    <s v="Y"/>
    <x v="1"/>
    <n v="21"/>
    <n v="4"/>
    <n v="4"/>
    <n v="80"/>
    <n v="0"/>
    <n v="5"/>
    <n v="3"/>
    <n v="3"/>
    <n v="5"/>
    <n v="3"/>
    <n v="0"/>
    <n v="2"/>
    <x v="1"/>
    <x v="2"/>
    <x v="0"/>
  </r>
  <r>
    <n v="49"/>
    <x v="1"/>
    <s v="Travel_Frequently"/>
    <n v="636"/>
    <x v="1"/>
    <n v="10"/>
    <n v="4"/>
    <s v="Life Sciences"/>
    <n v="1"/>
    <n v="396"/>
    <n v="3"/>
    <s v="Female"/>
    <n v="35"/>
    <n v="3"/>
    <n v="5"/>
    <x v="7"/>
    <n v="1"/>
    <s v="Single"/>
    <n v="18665"/>
    <n v="25594"/>
    <n v="9"/>
    <s v="Y"/>
    <x v="0"/>
    <n v="11"/>
    <n v="3"/>
    <n v="4"/>
    <n v="80"/>
    <n v="0"/>
    <n v="22"/>
    <n v="4"/>
    <n v="3"/>
    <n v="3"/>
    <n v="2"/>
    <n v="1"/>
    <n v="2"/>
    <x v="1"/>
    <x v="0"/>
    <x v="2"/>
  </r>
  <r>
    <n v="36"/>
    <x v="1"/>
    <s v="Travel_Rarely"/>
    <n v="506"/>
    <x v="1"/>
    <n v="3"/>
    <n v="3"/>
    <s v="Technical Degree"/>
    <n v="1"/>
    <n v="397"/>
    <n v="3"/>
    <s v="Male"/>
    <n v="30"/>
    <n v="3"/>
    <n v="2"/>
    <x v="1"/>
    <n v="2"/>
    <s v="Single"/>
    <n v="4485"/>
    <n v="26285"/>
    <n v="4"/>
    <s v="Y"/>
    <x v="1"/>
    <n v="12"/>
    <n v="3"/>
    <n v="4"/>
    <n v="80"/>
    <n v="0"/>
    <n v="10"/>
    <n v="2"/>
    <n v="3"/>
    <n v="8"/>
    <n v="0"/>
    <n v="7"/>
    <n v="7"/>
    <x v="1"/>
    <x v="1"/>
    <x v="0"/>
  </r>
  <r>
    <n v="31"/>
    <x v="1"/>
    <s v="Travel_Frequently"/>
    <n v="444"/>
    <x v="0"/>
    <n v="5"/>
    <n v="3"/>
    <s v="Marketing"/>
    <n v="1"/>
    <n v="399"/>
    <n v="4"/>
    <s v="Female"/>
    <n v="84"/>
    <n v="3"/>
    <n v="1"/>
    <x v="6"/>
    <n v="2"/>
    <s v="Divorced"/>
    <n v="2789"/>
    <n v="3909"/>
    <n v="1"/>
    <s v="Y"/>
    <x v="1"/>
    <n v="11"/>
    <n v="3"/>
    <n v="3"/>
    <n v="80"/>
    <n v="1"/>
    <n v="2"/>
    <n v="5"/>
    <n v="2"/>
    <n v="2"/>
    <n v="2"/>
    <n v="2"/>
    <n v="2"/>
    <x v="1"/>
    <x v="1"/>
    <x v="1"/>
  </r>
  <r>
    <n v="26"/>
    <x v="0"/>
    <s v="Travel_Rarely"/>
    <n v="950"/>
    <x v="0"/>
    <n v="4"/>
    <n v="4"/>
    <s v="Marketing"/>
    <n v="1"/>
    <n v="401"/>
    <n v="4"/>
    <s v="Male"/>
    <n v="48"/>
    <n v="2"/>
    <n v="2"/>
    <x v="0"/>
    <n v="4"/>
    <s v="Single"/>
    <n v="5828"/>
    <n v="8450"/>
    <n v="1"/>
    <s v="Y"/>
    <x v="0"/>
    <n v="12"/>
    <n v="3"/>
    <n v="2"/>
    <n v="80"/>
    <n v="0"/>
    <n v="8"/>
    <n v="0"/>
    <n v="3"/>
    <n v="8"/>
    <n v="7"/>
    <n v="7"/>
    <n v="4"/>
    <x v="0"/>
    <x v="2"/>
    <x v="0"/>
  </r>
  <r>
    <n v="37"/>
    <x v="1"/>
    <s v="Travel_Frequently"/>
    <n v="889"/>
    <x v="1"/>
    <n v="9"/>
    <n v="3"/>
    <s v="Medical"/>
    <n v="1"/>
    <n v="403"/>
    <n v="2"/>
    <s v="Male"/>
    <n v="53"/>
    <n v="3"/>
    <n v="1"/>
    <x v="1"/>
    <n v="4"/>
    <s v="Married"/>
    <n v="2326"/>
    <n v="11411"/>
    <n v="1"/>
    <s v="Y"/>
    <x v="0"/>
    <n v="12"/>
    <n v="3"/>
    <n v="3"/>
    <n v="80"/>
    <n v="3"/>
    <n v="4"/>
    <n v="3"/>
    <n v="2"/>
    <n v="4"/>
    <n v="2"/>
    <n v="1"/>
    <n v="2"/>
    <x v="1"/>
    <x v="1"/>
    <x v="1"/>
  </r>
  <r>
    <n v="42"/>
    <x v="1"/>
    <s v="Travel_Frequently"/>
    <n v="555"/>
    <x v="0"/>
    <n v="26"/>
    <n v="3"/>
    <s v="Marketing"/>
    <n v="1"/>
    <n v="404"/>
    <n v="3"/>
    <s v="Female"/>
    <n v="77"/>
    <n v="3"/>
    <n v="4"/>
    <x v="0"/>
    <n v="2"/>
    <s v="Married"/>
    <n v="13525"/>
    <n v="14864"/>
    <n v="5"/>
    <s v="Y"/>
    <x v="1"/>
    <n v="14"/>
    <n v="3"/>
    <n v="4"/>
    <n v="80"/>
    <n v="1"/>
    <n v="23"/>
    <n v="2"/>
    <n v="4"/>
    <n v="20"/>
    <n v="4"/>
    <n v="4"/>
    <n v="8"/>
    <x v="1"/>
    <x v="0"/>
    <x v="2"/>
  </r>
  <r>
    <n v="18"/>
    <x v="0"/>
    <s v="Travel_Rarely"/>
    <n v="230"/>
    <x v="1"/>
    <n v="3"/>
    <n v="3"/>
    <s v="Life Sciences"/>
    <n v="1"/>
    <n v="405"/>
    <n v="3"/>
    <s v="Male"/>
    <n v="54"/>
    <n v="3"/>
    <n v="1"/>
    <x v="2"/>
    <n v="3"/>
    <s v="Single"/>
    <n v="1420"/>
    <n v="25233"/>
    <n v="1"/>
    <s v="Y"/>
    <x v="1"/>
    <n v="13"/>
    <n v="3"/>
    <n v="3"/>
    <n v="80"/>
    <n v="0"/>
    <n v="0"/>
    <n v="2"/>
    <n v="3"/>
    <n v="0"/>
    <n v="0"/>
    <n v="0"/>
    <n v="0"/>
    <x v="0"/>
    <x v="2"/>
    <x v="1"/>
  </r>
  <r>
    <n v="35"/>
    <x v="1"/>
    <s v="Travel_Rarely"/>
    <n v="1232"/>
    <x v="0"/>
    <n v="16"/>
    <n v="3"/>
    <s v="Marketing"/>
    <n v="1"/>
    <n v="406"/>
    <n v="3"/>
    <s v="Male"/>
    <n v="96"/>
    <n v="3"/>
    <n v="3"/>
    <x v="0"/>
    <n v="2"/>
    <s v="Married"/>
    <n v="8020"/>
    <n v="5100"/>
    <n v="0"/>
    <s v="Y"/>
    <x v="1"/>
    <n v="15"/>
    <n v="3"/>
    <n v="3"/>
    <n v="80"/>
    <n v="2"/>
    <n v="12"/>
    <n v="3"/>
    <n v="2"/>
    <n v="11"/>
    <n v="9"/>
    <n v="6"/>
    <n v="9"/>
    <x v="1"/>
    <x v="1"/>
    <x v="2"/>
  </r>
  <r>
    <n v="36"/>
    <x v="1"/>
    <s v="Travel_Frequently"/>
    <n v="566"/>
    <x v="1"/>
    <n v="18"/>
    <n v="4"/>
    <s v="Life Sciences"/>
    <n v="1"/>
    <n v="407"/>
    <n v="3"/>
    <s v="Male"/>
    <n v="81"/>
    <n v="4"/>
    <n v="1"/>
    <x v="2"/>
    <n v="4"/>
    <s v="Married"/>
    <n v="3688"/>
    <n v="7122"/>
    <n v="4"/>
    <s v="Y"/>
    <x v="1"/>
    <n v="18"/>
    <n v="3"/>
    <n v="4"/>
    <n v="80"/>
    <n v="2"/>
    <n v="4"/>
    <n v="2"/>
    <n v="3"/>
    <n v="1"/>
    <n v="0"/>
    <n v="0"/>
    <n v="0"/>
    <x v="1"/>
    <x v="1"/>
    <x v="0"/>
  </r>
  <r>
    <n v="51"/>
    <x v="1"/>
    <s v="Travel_Rarely"/>
    <n v="1302"/>
    <x v="1"/>
    <n v="2"/>
    <n v="3"/>
    <s v="Medical"/>
    <n v="1"/>
    <n v="408"/>
    <n v="4"/>
    <s v="Male"/>
    <n v="84"/>
    <n v="1"/>
    <n v="2"/>
    <x v="3"/>
    <n v="2"/>
    <s v="Divorced"/>
    <n v="5482"/>
    <n v="16321"/>
    <n v="5"/>
    <s v="Y"/>
    <x v="1"/>
    <n v="18"/>
    <n v="3"/>
    <n v="4"/>
    <n v="80"/>
    <n v="1"/>
    <n v="13"/>
    <n v="3"/>
    <n v="3"/>
    <n v="4"/>
    <n v="1"/>
    <n v="1"/>
    <n v="2"/>
    <x v="1"/>
    <x v="3"/>
    <x v="0"/>
  </r>
  <r>
    <n v="41"/>
    <x v="1"/>
    <s v="Travel_Rarely"/>
    <n v="334"/>
    <x v="0"/>
    <n v="2"/>
    <n v="4"/>
    <s v="Life Sciences"/>
    <n v="1"/>
    <n v="410"/>
    <n v="4"/>
    <s v="Male"/>
    <n v="88"/>
    <n v="3"/>
    <n v="4"/>
    <x v="5"/>
    <n v="2"/>
    <s v="Single"/>
    <n v="16015"/>
    <n v="15896"/>
    <n v="1"/>
    <s v="Y"/>
    <x v="1"/>
    <n v="19"/>
    <n v="3"/>
    <n v="2"/>
    <n v="80"/>
    <n v="0"/>
    <n v="22"/>
    <n v="2"/>
    <n v="3"/>
    <n v="22"/>
    <n v="10"/>
    <n v="0"/>
    <n v="4"/>
    <x v="1"/>
    <x v="0"/>
    <x v="2"/>
  </r>
  <r>
    <n v="18"/>
    <x v="1"/>
    <s v="Travel_Rarely"/>
    <n v="812"/>
    <x v="0"/>
    <n v="10"/>
    <n v="3"/>
    <s v="Medical"/>
    <n v="1"/>
    <n v="411"/>
    <n v="4"/>
    <s v="Female"/>
    <n v="69"/>
    <n v="2"/>
    <n v="1"/>
    <x v="6"/>
    <n v="3"/>
    <s v="Single"/>
    <n v="1200"/>
    <n v="9724"/>
    <n v="1"/>
    <s v="Y"/>
    <x v="1"/>
    <n v="12"/>
    <n v="3"/>
    <n v="1"/>
    <n v="80"/>
    <n v="0"/>
    <n v="0"/>
    <n v="2"/>
    <n v="3"/>
    <n v="0"/>
    <n v="0"/>
    <n v="0"/>
    <n v="0"/>
    <x v="1"/>
    <x v="2"/>
    <x v="1"/>
  </r>
  <r>
    <n v="28"/>
    <x v="1"/>
    <s v="Travel_Rarely"/>
    <n v="1476"/>
    <x v="1"/>
    <n v="16"/>
    <n v="2"/>
    <s v="Medical"/>
    <n v="1"/>
    <n v="412"/>
    <n v="2"/>
    <s v="Male"/>
    <n v="68"/>
    <n v="4"/>
    <n v="2"/>
    <x v="4"/>
    <n v="1"/>
    <s v="Single"/>
    <n v="5661"/>
    <n v="4824"/>
    <n v="0"/>
    <s v="Y"/>
    <x v="1"/>
    <n v="19"/>
    <n v="3"/>
    <n v="3"/>
    <n v="80"/>
    <n v="0"/>
    <n v="9"/>
    <n v="2"/>
    <n v="3"/>
    <n v="8"/>
    <n v="3"/>
    <n v="0"/>
    <n v="7"/>
    <x v="1"/>
    <x v="2"/>
    <x v="0"/>
  </r>
  <r>
    <n v="31"/>
    <x v="1"/>
    <s v="Travel_Rarely"/>
    <n v="218"/>
    <x v="0"/>
    <n v="7"/>
    <n v="3"/>
    <s v="Technical Degree"/>
    <n v="1"/>
    <n v="416"/>
    <n v="2"/>
    <s v="Male"/>
    <n v="100"/>
    <n v="4"/>
    <n v="2"/>
    <x v="0"/>
    <n v="4"/>
    <s v="Married"/>
    <n v="6929"/>
    <n v="12241"/>
    <n v="4"/>
    <s v="Y"/>
    <x v="1"/>
    <n v="11"/>
    <n v="3"/>
    <n v="2"/>
    <n v="80"/>
    <n v="1"/>
    <n v="10"/>
    <n v="3"/>
    <n v="2"/>
    <n v="8"/>
    <n v="7"/>
    <n v="7"/>
    <n v="7"/>
    <x v="1"/>
    <x v="1"/>
    <x v="0"/>
  </r>
  <r>
    <n v="39"/>
    <x v="1"/>
    <s v="Travel_Rarely"/>
    <n v="1132"/>
    <x v="1"/>
    <n v="1"/>
    <n v="3"/>
    <s v="Medical"/>
    <n v="1"/>
    <n v="417"/>
    <n v="3"/>
    <s v="Male"/>
    <n v="48"/>
    <n v="4"/>
    <n v="3"/>
    <x v="4"/>
    <n v="4"/>
    <s v="Divorced"/>
    <n v="9613"/>
    <n v="10942"/>
    <n v="0"/>
    <s v="Y"/>
    <x v="1"/>
    <n v="17"/>
    <n v="3"/>
    <n v="1"/>
    <n v="80"/>
    <n v="3"/>
    <n v="19"/>
    <n v="5"/>
    <n v="2"/>
    <n v="18"/>
    <n v="10"/>
    <n v="3"/>
    <n v="7"/>
    <x v="1"/>
    <x v="1"/>
    <x v="2"/>
  </r>
  <r>
    <n v="36"/>
    <x v="1"/>
    <s v="Non-Travel"/>
    <n v="1105"/>
    <x v="1"/>
    <n v="24"/>
    <n v="4"/>
    <s v="Life Sciences"/>
    <n v="1"/>
    <n v="419"/>
    <n v="2"/>
    <s v="Female"/>
    <n v="47"/>
    <n v="3"/>
    <n v="2"/>
    <x v="2"/>
    <n v="2"/>
    <s v="Married"/>
    <n v="5674"/>
    <n v="6927"/>
    <n v="7"/>
    <s v="Y"/>
    <x v="1"/>
    <n v="15"/>
    <n v="3"/>
    <n v="3"/>
    <n v="80"/>
    <n v="1"/>
    <n v="11"/>
    <n v="3"/>
    <n v="3"/>
    <n v="9"/>
    <n v="8"/>
    <n v="0"/>
    <n v="8"/>
    <x v="1"/>
    <x v="1"/>
    <x v="0"/>
  </r>
  <r>
    <n v="32"/>
    <x v="1"/>
    <s v="Travel_Rarely"/>
    <n v="906"/>
    <x v="0"/>
    <n v="7"/>
    <n v="3"/>
    <s v="Life Sciences"/>
    <n v="1"/>
    <n v="420"/>
    <n v="4"/>
    <s v="Male"/>
    <n v="91"/>
    <n v="2"/>
    <n v="2"/>
    <x v="0"/>
    <n v="3"/>
    <s v="Married"/>
    <n v="5484"/>
    <n v="16985"/>
    <n v="1"/>
    <s v="Y"/>
    <x v="1"/>
    <n v="14"/>
    <n v="3"/>
    <n v="3"/>
    <n v="80"/>
    <n v="1"/>
    <n v="13"/>
    <n v="3"/>
    <n v="2"/>
    <n v="13"/>
    <n v="8"/>
    <n v="4"/>
    <n v="8"/>
    <x v="1"/>
    <x v="1"/>
    <x v="0"/>
  </r>
  <r>
    <n v="38"/>
    <x v="1"/>
    <s v="Travel_Rarely"/>
    <n v="849"/>
    <x v="1"/>
    <n v="25"/>
    <n v="2"/>
    <s v="Life Sciences"/>
    <n v="1"/>
    <n v="421"/>
    <n v="1"/>
    <s v="Female"/>
    <n v="81"/>
    <n v="2"/>
    <n v="3"/>
    <x v="7"/>
    <n v="2"/>
    <s v="Married"/>
    <n v="12061"/>
    <n v="26707"/>
    <n v="3"/>
    <s v="Y"/>
    <x v="1"/>
    <n v="17"/>
    <n v="3"/>
    <n v="3"/>
    <n v="80"/>
    <n v="1"/>
    <n v="19"/>
    <n v="2"/>
    <n v="3"/>
    <n v="10"/>
    <n v="8"/>
    <n v="0"/>
    <n v="1"/>
    <x v="1"/>
    <x v="1"/>
    <x v="2"/>
  </r>
  <r>
    <n v="58"/>
    <x v="1"/>
    <s v="Non-Travel"/>
    <n v="390"/>
    <x v="1"/>
    <n v="1"/>
    <n v="4"/>
    <s v="Life Sciences"/>
    <n v="1"/>
    <n v="422"/>
    <n v="4"/>
    <s v="Male"/>
    <n v="32"/>
    <n v="1"/>
    <n v="2"/>
    <x v="4"/>
    <n v="3"/>
    <s v="Divorced"/>
    <n v="5660"/>
    <n v="17056"/>
    <n v="2"/>
    <s v="Y"/>
    <x v="0"/>
    <n v="13"/>
    <n v="3"/>
    <n v="4"/>
    <n v="80"/>
    <n v="1"/>
    <n v="12"/>
    <n v="2"/>
    <n v="3"/>
    <n v="5"/>
    <n v="3"/>
    <n v="1"/>
    <n v="2"/>
    <x v="1"/>
    <x v="3"/>
    <x v="0"/>
  </r>
  <r>
    <n v="31"/>
    <x v="1"/>
    <s v="Travel_Rarely"/>
    <n v="691"/>
    <x v="1"/>
    <n v="5"/>
    <n v="4"/>
    <s v="Technical Degree"/>
    <n v="1"/>
    <n v="423"/>
    <n v="3"/>
    <s v="Male"/>
    <n v="86"/>
    <n v="3"/>
    <n v="1"/>
    <x v="1"/>
    <n v="4"/>
    <s v="Married"/>
    <n v="4821"/>
    <n v="10077"/>
    <n v="0"/>
    <s v="Y"/>
    <x v="0"/>
    <n v="12"/>
    <n v="3"/>
    <n v="3"/>
    <n v="80"/>
    <n v="1"/>
    <n v="6"/>
    <n v="4"/>
    <n v="3"/>
    <n v="5"/>
    <n v="2"/>
    <n v="0"/>
    <n v="3"/>
    <x v="1"/>
    <x v="1"/>
    <x v="0"/>
  </r>
  <r>
    <n v="31"/>
    <x v="1"/>
    <s v="Travel_Rarely"/>
    <n v="106"/>
    <x v="2"/>
    <n v="2"/>
    <n v="3"/>
    <s v="Human Resources"/>
    <n v="1"/>
    <n v="424"/>
    <n v="1"/>
    <s v="Male"/>
    <n v="62"/>
    <n v="2"/>
    <n v="2"/>
    <x v="8"/>
    <n v="1"/>
    <s v="Married"/>
    <n v="6410"/>
    <n v="17822"/>
    <n v="3"/>
    <s v="Y"/>
    <x v="1"/>
    <n v="12"/>
    <n v="3"/>
    <n v="4"/>
    <n v="80"/>
    <n v="0"/>
    <n v="9"/>
    <n v="1"/>
    <n v="3"/>
    <n v="2"/>
    <n v="2"/>
    <n v="1"/>
    <n v="0"/>
    <x v="1"/>
    <x v="1"/>
    <x v="0"/>
  </r>
  <r>
    <n v="45"/>
    <x v="1"/>
    <s v="Travel_Frequently"/>
    <n v="1249"/>
    <x v="1"/>
    <n v="7"/>
    <n v="3"/>
    <s v="Life Sciences"/>
    <n v="1"/>
    <n v="425"/>
    <n v="1"/>
    <s v="Male"/>
    <n v="97"/>
    <n v="3"/>
    <n v="3"/>
    <x v="2"/>
    <n v="1"/>
    <s v="Divorced"/>
    <n v="5210"/>
    <n v="20308"/>
    <n v="1"/>
    <s v="Y"/>
    <x v="1"/>
    <n v="18"/>
    <n v="3"/>
    <n v="1"/>
    <n v="80"/>
    <n v="1"/>
    <n v="24"/>
    <n v="2"/>
    <n v="3"/>
    <n v="24"/>
    <n v="9"/>
    <n v="9"/>
    <n v="11"/>
    <x v="1"/>
    <x v="0"/>
    <x v="0"/>
  </r>
  <r>
    <n v="31"/>
    <x v="1"/>
    <s v="Travel_Rarely"/>
    <n v="192"/>
    <x v="1"/>
    <n v="2"/>
    <n v="4"/>
    <s v="Life Sciences"/>
    <n v="1"/>
    <n v="426"/>
    <n v="3"/>
    <s v="Male"/>
    <n v="32"/>
    <n v="3"/>
    <n v="1"/>
    <x v="1"/>
    <n v="4"/>
    <s v="Divorced"/>
    <n v="2695"/>
    <n v="7747"/>
    <n v="0"/>
    <s v="Y"/>
    <x v="0"/>
    <n v="18"/>
    <n v="3"/>
    <n v="2"/>
    <n v="80"/>
    <n v="1"/>
    <n v="3"/>
    <n v="2"/>
    <n v="1"/>
    <n v="2"/>
    <n v="2"/>
    <n v="2"/>
    <n v="2"/>
    <x v="1"/>
    <x v="1"/>
    <x v="1"/>
  </r>
  <r>
    <n v="33"/>
    <x v="1"/>
    <s v="Travel_Frequently"/>
    <n v="553"/>
    <x v="1"/>
    <n v="5"/>
    <n v="4"/>
    <s v="Life Sciences"/>
    <n v="1"/>
    <n v="428"/>
    <n v="4"/>
    <s v="Female"/>
    <n v="74"/>
    <n v="3"/>
    <n v="3"/>
    <x v="5"/>
    <n v="2"/>
    <s v="Married"/>
    <n v="11878"/>
    <n v="23364"/>
    <n v="6"/>
    <s v="Y"/>
    <x v="1"/>
    <n v="11"/>
    <n v="3"/>
    <n v="2"/>
    <n v="80"/>
    <n v="2"/>
    <n v="12"/>
    <n v="2"/>
    <n v="3"/>
    <n v="10"/>
    <n v="6"/>
    <n v="8"/>
    <n v="8"/>
    <x v="1"/>
    <x v="1"/>
    <x v="2"/>
  </r>
  <r>
    <n v="39"/>
    <x v="1"/>
    <s v="Travel_Rarely"/>
    <n v="117"/>
    <x v="1"/>
    <n v="10"/>
    <n v="1"/>
    <s v="Medical"/>
    <n v="1"/>
    <n v="429"/>
    <n v="3"/>
    <s v="Male"/>
    <n v="99"/>
    <n v="3"/>
    <n v="4"/>
    <x v="5"/>
    <n v="1"/>
    <s v="Married"/>
    <n v="17068"/>
    <n v="5355"/>
    <n v="1"/>
    <s v="Y"/>
    <x v="0"/>
    <n v="14"/>
    <n v="3"/>
    <n v="4"/>
    <n v="80"/>
    <n v="0"/>
    <n v="21"/>
    <n v="3"/>
    <n v="3"/>
    <n v="21"/>
    <n v="9"/>
    <n v="11"/>
    <n v="10"/>
    <x v="1"/>
    <x v="1"/>
    <x v="2"/>
  </r>
  <r>
    <n v="43"/>
    <x v="1"/>
    <s v="Travel_Frequently"/>
    <n v="185"/>
    <x v="1"/>
    <n v="10"/>
    <n v="4"/>
    <s v="Life Sciences"/>
    <n v="1"/>
    <n v="430"/>
    <n v="3"/>
    <s v="Female"/>
    <n v="33"/>
    <n v="3"/>
    <n v="1"/>
    <x v="2"/>
    <n v="4"/>
    <s v="Single"/>
    <n v="2455"/>
    <n v="10675"/>
    <n v="0"/>
    <s v="Y"/>
    <x v="1"/>
    <n v="19"/>
    <n v="3"/>
    <n v="1"/>
    <n v="80"/>
    <n v="0"/>
    <n v="9"/>
    <n v="5"/>
    <n v="3"/>
    <n v="8"/>
    <n v="7"/>
    <n v="1"/>
    <n v="7"/>
    <x v="1"/>
    <x v="0"/>
    <x v="1"/>
  </r>
  <r>
    <n v="49"/>
    <x v="1"/>
    <s v="Travel_Rarely"/>
    <n v="1091"/>
    <x v="1"/>
    <n v="1"/>
    <n v="2"/>
    <s v="Technical Degree"/>
    <n v="1"/>
    <n v="431"/>
    <n v="3"/>
    <s v="Female"/>
    <n v="90"/>
    <n v="2"/>
    <n v="4"/>
    <x v="4"/>
    <n v="3"/>
    <s v="Single"/>
    <n v="13964"/>
    <n v="17810"/>
    <n v="7"/>
    <s v="Y"/>
    <x v="0"/>
    <n v="12"/>
    <n v="3"/>
    <n v="4"/>
    <n v="80"/>
    <n v="0"/>
    <n v="25"/>
    <n v="2"/>
    <n v="3"/>
    <n v="7"/>
    <n v="1"/>
    <n v="0"/>
    <n v="7"/>
    <x v="1"/>
    <x v="0"/>
    <x v="2"/>
  </r>
  <r>
    <n v="52"/>
    <x v="0"/>
    <s v="Travel_Rarely"/>
    <n v="723"/>
    <x v="1"/>
    <n v="8"/>
    <n v="4"/>
    <s v="Medical"/>
    <n v="1"/>
    <n v="433"/>
    <n v="3"/>
    <s v="Male"/>
    <n v="85"/>
    <n v="2"/>
    <n v="2"/>
    <x v="1"/>
    <n v="2"/>
    <s v="Married"/>
    <n v="4941"/>
    <n v="17747"/>
    <n v="2"/>
    <s v="Y"/>
    <x v="1"/>
    <n v="15"/>
    <n v="3"/>
    <n v="1"/>
    <n v="80"/>
    <n v="0"/>
    <n v="11"/>
    <n v="3"/>
    <n v="2"/>
    <n v="8"/>
    <n v="2"/>
    <n v="7"/>
    <n v="7"/>
    <x v="0"/>
    <x v="3"/>
    <x v="0"/>
  </r>
  <r>
    <n v="27"/>
    <x v="1"/>
    <s v="Travel_Rarely"/>
    <n v="1220"/>
    <x v="1"/>
    <n v="5"/>
    <n v="3"/>
    <s v="Life Sciences"/>
    <n v="1"/>
    <n v="434"/>
    <n v="3"/>
    <s v="Female"/>
    <n v="85"/>
    <n v="3"/>
    <n v="1"/>
    <x v="1"/>
    <n v="2"/>
    <s v="Single"/>
    <n v="2478"/>
    <n v="20938"/>
    <n v="1"/>
    <s v="Y"/>
    <x v="0"/>
    <n v="12"/>
    <n v="3"/>
    <n v="2"/>
    <n v="80"/>
    <n v="0"/>
    <n v="4"/>
    <n v="2"/>
    <n v="2"/>
    <n v="4"/>
    <n v="3"/>
    <n v="1"/>
    <n v="2"/>
    <x v="1"/>
    <x v="2"/>
    <x v="1"/>
  </r>
  <r>
    <n v="32"/>
    <x v="1"/>
    <s v="Travel_Rarely"/>
    <n v="588"/>
    <x v="0"/>
    <n v="8"/>
    <n v="2"/>
    <s v="Technical Degree"/>
    <n v="1"/>
    <n v="436"/>
    <n v="3"/>
    <s v="Female"/>
    <n v="65"/>
    <n v="2"/>
    <n v="2"/>
    <x v="0"/>
    <n v="2"/>
    <s v="Married"/>
    <n v="5228"/>
    <n v="24624"/>
    <n v="1"/>
    <s v="Y"/>
    <x v="0"/>
    <n v="11"/>
    <n v="3"/>
    <n v="4"/>
    <n v="80"/>
    <n v="0"/>
    <n v="13"/>
    <n v="2"/>
    <n v="3"/>
    <n v="13"/>
    <n v="12"/>
    <n v="11"/>
    <n v="9"/>
    <x v="1"/>
    <x v="1"/>
    <x v="0"/>
  </r>
  <r>
    <n v="27"/>
    <x v="1"/>
    <s v="Travel_Rarely"/>
    <n v="1377"/>
    <x v="0"/>
    <n v="2"/>
    <n v="3"/>
    <s v="Life Sciences"/>
    <n v="1"/>
    <n v="437"/>
    <n v="4"/>
    <s v="Male"/>
    <n v="74"/>
    <n v="3"/>
    <n v="2"/>
    <x v="0"/>
    <n v="3"/>
    <s v="Single"/>
    <n v="4478"/>
    <n v="5242"/>
    <n v="1"/>
    <s v="Y"/>
    <x v="0"/>
    <n v="11"/>
    <n v="3"/>
    <n v="1"/>
    <n v="80"/>
    <n v="0"/>
    <n v="5"/>
    <n v="3"/>
    <n v="3"/>
    <n v="5"/>
    <n v="4"/>
    <n v="0"/>
    <n v="4"/>
    <x v="1"/>
    <x v="2"/>
    <x v="0"/>
  </r>
  <r>
    <n v="31"/>
    <x v="1"/>
    <s v="Travel_Rarely"/>
    <n v="691"/>
    <x v="0"/>
    <n v="7"/>
    <n v="3"/>
    <s v="Marketing"/>
    <n v="1"/>
    <n v="438"/>
    <n v="4"/>
    <s v="Male"/>
    <n v="73"/>
    <n v="3"/>
    <n v="2"/>
    <x v="0"/>
    <n v="4"/>
    <s v="Divorced"/>
    <n v="7547"/>
    <n v="7143"/>
    <n v="4"/>
    <s v="Y"/>
    <x v="1"/>
    <n v="12"/>
    <n v="3"/>
    <n v="4"/>
    <n v="80"/>
    <n v="3"/>
    <n v="13"/>
    <n v="3"/>
    <n v="3"/>
    <n v="7"/>
    <n v="7"/>
    <n v="1"/>
    <n v="7"/>
    <x v="1"/>
    <x v="1"/>
    <x v="2"/>
  </r>
  <r>
    <n v="32"/>
    <x v="1"/>
    <s v="Travel_Rarely"/>
    <n v="1018"/>
    <x v="1"/>
    <n v="2"/>
    <n v="4"/>
    <s v="Medical"/>
    <n v="1"/>
    <n v="439"/>
    <n v="1"/>
    <s v="Female"/>
    <n v="74"/>
    <n v="4"/>
    <n v="2"/>
    <x v="1"/>
    <n v="4"/>
    <s v="Single"/>
    <n v="5055"/>
    <n v="10557"/>
    <n v="7"/>
    <s v="Y"/>
    <x v="1"/>
    <n v="16"/>
    <n v="3"/>
    <n v="3"/>
    <n v="80"/>
    <n v="0"/>
    <n v="10"/>
    <n v="0"/>
    <n v="2"/>
    <n v="7"/>
    <n v="7"/>
    <n v="0"/>
    <n v="7"/>
    <x v="1"/>
    <x v="1"/>
    <x v="0"/>
  </r>
  <r>
    <n v="28"/>
    <x v="0"/>
    <s v="Travel_Rarely"/>
    <n v="1157"/>
    <x v="1"/>
    <n v="2"/>
    <n v="4"/>
    <s v="Medical"/>
    <n v="1"/>
    <n v="440"/>
    <n v="1"/>
    <s v="Male"/>
    <n v="84"/>
    <n v="1"/>
    <n v="1"/>
    <x v="1"/>
    <n v="4"/>
    <s v="Married"/>
    <n v="3464"/>
    <n v="24737"/>
    <n v="5"/>
    <s v="Y"/>
    <x v="0"/>
    <n v="13"/>
    <n v="3"/>
    <n v="4"/>
    <n v="80"/>
    <n v="0"/>
    <n v="5"/>
    <n v="4"/>
    <n v="2"/>
    <n v="3"/>
    <n v="2"/>
    <n v="2"/>
    <n v="2"/>
    <x v="0"/>
    <x v="2"/>
    <x v="0"/>
  </r>
  <r>
    <n v="30"/>
    <x v="1"/>
    <s v="Travel_Rarely"/>
    <n v="1275"/>
    <x v="1"/>
    <n v="28"/>
    <n v="2"/>
    <s v="Medical"/>
    <n v="1"/>
    <n v="441"/>
    <n v="4"/>
    <s v="Female"/>
    <n v="64"/>
    <n v="3"/>
    <n v="2"/>
    <x v="1"/>
    <n v="4"/>
    <s v="Married"/>
    <n v="5775"/>
    <n v="11934"/>
    <n v="1"/>
    <s v="Y"/>
    <x v="1"/>
    <n v="13"/>
    <n v="3"/>
    <n v="4"/>
    <n v="80"/>
    <n v="2"/>
    <n v="11"/>
    <n v="2"/>
    <n v="3"/>
    <n v="10"/>
    <n v="8"/>
    <n v="1"/>
    <n v="9"/>
    <x v="1"/>
    <x v="1"/>
    <x v="0"/>
  </r>
  <r>
    <n v="31"/>
    <x v="1"/>
    <s v="Travel_Frequently"/>
    <n v="798"/>
    <x v="1"/>
    <n v="7"/>
    <n v="2"/>
    <s v="Life Sciences"/>
    <n v="1"/>
    <n v="442"/>
    <n v="3"/>
    <s v="Female"/>
    <n v="48"/>
    <n v="2"/>
    <n v="3"/>
    <x v="3"/>
    <n v="3"/>
    <s v="Married"/>
    <n v="8943"/>
    <n v="14034"/>
    <n v="1"/>
    <s v="Y"/>
    <x v="1"/>
    <n v="24"/>
    <n v="4"/>
    <n v="1"/>
    <n v="80"/>
    <n v="1"/>
    <n v="10"/>
    <n v="2"/>
    <n v="3"/>
    <n v="10"/>
    <n v="9"/>
    <n v="8"/>
    <n v="9"/>
    <x v="1"/>
    <x v="1"/>
    <x v="2"/>
  </r>
  <r>
    <n v="39"/>
    <x v="1"/>
    <s v="Travel_Frequently"/>
    <n v="672"/>
    <x v="1"/>
    <n v="7"/>
    <n v="2"/>
    <s v="Medical"/>
    <n v="1"/>
    <n v="444"/>
    <n v="3"/>
    <s v="Male"/>
    <n v="54"/>
    <n v="2"/>
    <n v="5"/>
    <x v="5"/>
    <n v="4"/>
    <s v="Married"/>
    <n v="19272"/>
    <n v="21141"/>
    <n v="1"/>
    <s v="Y"/>
    <x v="1"/>
    <n v="15"/>
    <n v="3"/>
    <n v="1"/>
    <n v="80"/>
    <n v="1"/>
    <n v="21"/>
    <n v="2"/>
    <n v="3"/>
    <n v="21"/>
    <n v="9"/>
    <n v="13"/>
    <n v="3"/>
    <x v="1"/>
    <x v="1"/>
    <x v="2"/>
  </r>
  <r>
    <n v="39"/>
    <x v="0"/>
    <s v="Travel_Rarely"/>
    <n v="1162"/>
    <x v="0"/>
    <n v="3"/>
    <n v="2"/>
    <s v="Medical"/>
    <n v="1"/>
    <n v="445"/>
    <n v="4"/>
    <s v="Female"/>
    <n v="41"/>
    <n v="3"/>
    <n v="2"/>
    <x v="0"/>
    <n v="3"/>
    <s v="Married"/>
    <n v="5238"/>
    <n v="17778"/>
    <n v="4"/>
    <s v="Y"/>
    <x v="0"/>
    <n v="18"/>
    <n v="3"/>
    <n v="1"/>
    <n v="80"/>
    <n v="0"/>
    <n v="12"/>
    <n v="3"/>
    <n v="2"/>
    <n v="1"/>
    <n v="0"/>
    <n v="0"/>
    <n v="0"/>
    <x v="0"/>
    <x v="1"/>
    <x v="0"/>
  </r>
  <r>
    <n v="33"/>
    <x v="1"/>
    <s v="Travel_Frequently"/>
    <n v="508"/>
    <x v="0"/>
    <n v="10"/>
    <n v="3"/>
    <s v="Marketing"/>
    <n v="1"/>
    <n v="446"/>
    <n v="2"/>
    <s v="Male"/>
    <n v="46"/>
    <n v="2"/>
    <n v="2"/>
    <x v="0"/>
    <n v="4"/>
    <s v="Single"/>
    <n v="4682"/>
    <n v="4317"/>
    <n v="3"/>
    <s v="Y"/>
    <x v="1"/>
    <n v="14"/>
    <n v="3"/>
    <n v="3"/>
    <n v="80"/>
    <n v="0"/>
    <n v="9"/>
    <n v="6"/>
    <n v="2"/>
    <n v="7"/>
    <n v="7"/>
    <n v="0"/>
    <n v="1"/>
    <x v="1"/>
    <x v="1"/>
    <x v="0"/>
  </r>
  <r>
    <n v="47"/>
    <x v="1"/>
    <s v="Travel_Rarely"/>
    <n v="1482"/>
    <x v="1"/>
    <n v="5"/>
    <n v="5"/>
    <s v="Life Sciences"/>
    <n v="1"/>
    <n v="447"/>
    <n v="4"/>
    <s v="Male"/>
    <n v="42"/>
    <n v="3"/>
    <n v="5"/>
    <x v="7"/>
    <n v="3"/>
    <s v="Married"/>
    <n v="18300"/>
    <n v="16375"/>
    <n v="4"/>
    <s v="Y"/>
    <x v="1"/>
    <n v="11"/>
    <n v="3"/>
    <n v="2"/>
    <n v="80"/>
    <n v="1"/>
    <n v="21"/>
    <n v="2"/>
    <n v="3"/>
    <n v="3"/>
    <n v="2"/>
    <n v="1"/>
    <n v="1"/>
    <x v="1"/>
    <x v="0"/>
    <x v="2"/>
  </r>
  <r>
    <n v="43"/>
    <x v="1"/>
    <s v="Travel_Frequently"/>
    <n v="559"/>
    <x v="1"/>
    <n v="10"/>
    <n v="4"/>
    <s v="Life Sciences"/>
    <n v="1"/>
    <n v="448"/>
    <n v="3"/>
    <s v="Female"/>
    <n v="82"/>
    <n v="2"/>
    <n v="2"/>
    <x v="2"/>
    <n v="3"/>
    <s v="Divorced"/>
    <n v="5257"/>
    <n v="6227"/>
    <n v="1"/>
    <s v="Y"/>
    <x v="1"/>
    <n v="11"/>
    <n v="3"/>
    <n v="2"/>
    <n v="80"/>
    <n v="1"/>
    <n v="9"/>
    <n v="3"/>
    <n v="4"/>
    <n v="9"/>
    <n v="7"/>
    <n v="0"/>
    <n v="0"/>
    <x v="1"/>
    <x v="0"/>
    <x v="0"/>
  </r>
  <r>
    <n v="27"/>
    <x v="1"/>
    <s v="Non-Travel"/>
    <n v="210"/>
    <x v="0"/>
    <n v="1"/>
    <n v="1"/>
    <s v="Marketing"/>
    <n v="1"/>
    <n v="449"/>
    <n v="3"/>
    <s v="Male"/>
    <n v="73"/>
    <n v="3"/>
    <n v="2"/>
    <x v="0"/>
    <n v="2"/>
    <s v="Married"/>
    <n v="6349"/>
    <n v="22107"/>
    <n v="0"/>
    <s v="Y"/>
    <x v="0"/>
    <n v="13"/>
    <n v="3"/>
    <n v="4"/>
    <n v="80"/>
    <n v="1"/>
    <n v="6"/>
    <n v="0"/>
    <n v="3"/>
    <n v="5"/>
    <n v="4"/>
    <n v="1"/>
    <n v="4"/>
    <x v="1"/>
    <x v="2"/>
    <x v="0"/>
  </r>
  <r>
    <n v="54"/>
    <x v="1"/>
    <s v="Travel_Frequently"/>
    <n v="928"/>
    <x v="1"/>
    <n v="20"/>
    <n v="4"/>
    <s v="Life Sciences"/>
    <n v="1"/>
    <n v="450"/>
    <n v="4"/>
    <s v="Female"/>
    <n v="31"/>
    <n v="3"/>
    <n v="2"/>
    <x v="1"/>
    <n v="3"/>
    <s v="Single"/>
    <n v="4869"/>
    <n v="16885"/>
    <n v="3"/>
    <s v="Y"/>
    <x v="1"/>
    <n v="12"/>
    <n v="3"/>
    <n v="4"/>
    <n v="80"/>
    <n v="0"/>
    <n v="20"/>
    <n v="4"/>
    <n v="2"/>
    <n v="4"/>
    <n v="3"/>
    <n v="0"/>
    <n v="3"/>
    <x v="1"/>
    <x v="3"/>
    <x v="0"/>
  </r>
  <r>
    <n v="43"/>
    <x v="1"/>
    <s v="Travel_Rarely"/>
    <n v="1001"/>
    <x v="1"/>
    <n v="7"/>
    <n v="3"/>
    <s v="Life Sciences"/>
    <n v="1"/>
    <n v="451"/>
    <n v="3"/>
    <s v="Female"/>
    <n v="43"/>
    <n v="3"/>
    <n v="3"/>
    <x v="4"/>
    <n v="1"/>
    <s v="Married"/>
    <n v="9985"/>
    <n v="9262"/>
    <n v="8"/>
    <s v="Y"/>
    <x v="1"/>
    <n v="16"/>
    <n v="3"/>
    <n v="1"/>
    <n v="80"/>
    <n v="1"/>
    <n v="10"/>
    <n v="1"/>
    <n v="2"/>
    <n v="1"/>
    <n v="0"/>
    <n v="0"/>
    <n v="0"/>
    <x v="1"/>
    <x v="0"/>
    <x v="2"/>
  </r>
  <r>
    <n v="45"/>
    <x v="1"/>
    <s v="Travel_Rarely"/>
    <n v="549"/>
    <x v="1"/>
    <n v="8"/>
    <n v="4"/>
    <s v="Other"/>
    <n v="1"/>
    <n v="452"/>
    <n v="4"/>
    <s v="Male"/>
    <n v="75"/>
    <n v="3"/>
    <n v="2"/>
    <x v="1"/>
    <n v="4"/>
    <s v="Married"/>
    <n v="3697"/>
    <n v="9278"/>
    <n v="9"/>
    <s v="Y"/>
    <x v="1"/>
    <n v="14"/>
    <n v="3"/>
    <n v="1"/>
    <n v="80"/>
    <n v="2"/>
    <n v="12"/>
    <n v="3"/>
    <n v="3"/>
    <n v="10"/>
    <n v="9"/>
    <n v="9"/>
    <n v="8"/>
    <x v="1"/>
    <x v="0"/>
    <x v="0"/>
  </r>
  <r>
    <n v="40"/>
    <x v="1"/>
    <s v="Travel_Rarely"/>
    <n v="1124"/>
    <x v="0"/>
    <n v="1"/>
    <n v="2"/>
    <s v="Medical"/>
    <n v="1"/>
    <n v="453"/>
    <n v="2"/>
    <s v="Male"/>
    <n v="57"/>
    <n v="1"/>
    <n v="2"/>
    <x v="0"/>
    <n v="4"/>
    <s v="Married"/>
    <n v="7457"/>
    <n v="13273"/>
    <n v="2"/>
    <s v="Y"/>
    <x v="0"/>
    <n v="22"/>
    <n v="4"/>
    <n v="3"/>
    <n v="80"/>
    <n v="3"/>
    <n v="6"/>
    <n v="2"/>
    <n v="2"/>
    <n v="4"/>
    <n v="3"/>
    <n v="0"/>
    <n v="2"/>
    <x v="1"/>
    <x v="0"/>
    <x v="2"/>
  </r>
  <r>
    <n v="29"/>
    <x v="0"/>
    <s v="Travel_Rarely"/>
    <n v="318"/>
    <x v="1"/>
    <n v="8"/>
    <n v="4"/>
    <s v="Other"/>
    <n v="1"/>
    <n v="454"/>
    <n v="2"/>
    <s v="Male"/>
    <n v="77"/>
    <n v="1"/>
    <n v="1"/>
    <x v="2"/>
    <n v="1"/>
    <s v="Married"/>
    <n v="2119"/>
    <n v="4759"/>
    <n v="1"/>
    <s v="Y"/>
    <x v="0"/>
    <n v="11"/>
    <n v="3"/>
    <n v="4"/>
    <n v="80"/>
    <n v="0"/>
    <n v="7"/>
    <n v="4"/>
    <n v="2"/>
    <n v="7"/>
    <n v="7"/>
    <n v="0"/>
    <n v="7"/>
    <x v="0"/>
    <x v="2"/>
    <x v="1"/>
  </r>
  <r>
    <n v="29"/>
    <x v="1"/>
    <s v="Travel_Rarely"/>
    <n v="738"/>
    <x v="1"/>
    <n v="9"/>
    <n v="5"/>
    <s v="Other"/>
    <n v="1"/>
    <n v="455"/>
    <n v="2"/>
    <s v="Male"/>
    <n v="30"/>
    <n v="2"/>
    <n v="1"/>
    <x v="2"/>
    <n v="4"/>
    <s v="Single"/>
    <n v="3983"/>
    <n v="7621"/>
    <n v="0"/>
    <s v="Y"/>
    <x v="1"/>
    <n v="17"/>
    <n v="3"/>
    <n v="3"/>
    <n v="80"/>
    <n v="0"/>
    <n v="4"/>
    <n v="2"/>
    <n v="3"/>
    <n v="3"/>
    <n v="2"/>
    <n v="2"/>
    <n v="2"/>
    <x v="1"/>
    <x v="2"/>
    <x v="0"/>
  </r>
  <r>
    <n v="30"/>
    <x v="1"/>
    <s v="Travel_Rarely"/>
    <n v="570"/>
    <x v="0"/>
    <n v="5"/>
    <n v="3"/>
    <s v="Marketing"/>
    <n v="1"/>
    <n v="456"/>
    <n v="4"/>
    <s v="Female"/>
    <n v="30"/>
    <n v="2"/>
    <n v="2"/>
    <x v="0"/>
    <n v="3"/>
    <s v="Divorced"/>
    <n v="6118"/>
    <n v="5431"/>
    <n v="1"/>
    <s v="Y"/>
    <x v="1"/>
    <n v="13"/>
    <n v="3"/>
    <n v="3"/>
    <n v="80"/>
    <n v="3"/>
    <n v="10"/>
    <n v="2"/>
    <n v="3"/>
    <n v="10"/>
    <n v="9"/>
    <n v="1"/>
    <n v="2"/>
    <x v="1"/>
    <x v="1"/>
    <x v="0"/>
  </r>
  <r>
    <n v="27"/>
    <x v="1"/>
    <s v="Travel_Rarely"/>
    <n v="1130"/>
    <x v="0"/>
    <n v="8"/>
    <n v="4"/>
    <s v="Marketing"/>
    <n v="1"/>
    <n v="458"/>
    <n v="2"/>
    <s v="Female"/>
    <n v="56"/>
    <n v="3"/>
    <n v="2"/>
    <x v="0"/>
    <n v="2"/>
    <s v="Married"/>
    <n v="6214"/>
    <n v="3415"/>
    <n v="1"/>
    <s v="Y"/>
    <x v="1"/>
    <n v="18"/>
    <n v="3"/>
    <n v="1"/>
    <n v="80"/>
    <n v="1"/>
    <n v="8"/>
    <n v="3"/>
    <n v="3"/>
    <n v="8"/>
    <n v="7"/>
    <n v="0"/>
    <n v="7"/>
    <x v="1"/>
    <x v="2"/>
    <x v="0"/>
  </r>
  <r>
    <n v="37"/>
    <x v="1"/>
    <s v="Travel_Rarely"/>
    <n v="1192"/>
    <x v="1"/>
    <n v="5"/>
    <n v="2"/>
    <s v="Medical"/>
    <n v="1"/>
    <n v="460"/>
    <n v="4"/>
    <s v="Male"/>
    <n v="61"/>
    <n v="3"/>
    <n v="2"/>
    <x v="3"/>
    <n v="4"/>
    <s v="Divorced"/>
    <n v="6347"/>
    <n v="23177"/>
    <n v="7"/>
    <s v="Y"/>
    <x v="1"/>
    <n v="16"/>
    <n v="3"/>
    <n v="3"/>
    <n v="80"/>
    <n v="2"/>
    <n v="8"/>
    <n v="2"/>
    <n v="2"/>
    <n v="6"/>
    <n v="2"/>
    <n v="0"/>
    <n v="4"/>
    <x v="1"/>
    <x v="1"/>
    <x v="0"/>
  </r>
  <r>
    <n v="38"/>
    <x v="1"/>
    <s v="Travel_Rarely"/>
    <n v="343"/>
    <x v="1"/>
    <n v="15"/>
    <n v="2"/>
    <s v="Life Sciences"/>
    <n v="1"/>
    <n v="461"/>
    <n v="3"/>
    <s v="Male"/>
    <n v="92"/>
    <n v="2"/>
    <n v="3"/>
    <x v="7"/>
    <n v="4"/>
    <s v="Divorced"/>
    <n v="11510"/>
    <n v="15682"/>
    <n v="0"/>
    <s v="Y"/>
    <x v="0"/>
    <n v="14"/>
    <n v="3"/>
    <n v="2"/>
    <n v="80"/>
    <n v="1"/>
    <n v="12"/>
    <n v="3"/>
    <n v="3"/>
    <n v="11"/>
    <n v="10"/>
    <n v="2"/>
    <n v="9"/>
    <x v="1"/>
    <x v="1"/>
    <x v="2"/>
  </r>
  <r>
    <n v="31"/>
    <x v="1"/>
    <s v="Travel_Rarely"/>
    <n v="1232"/>
    <x v="1"/>
    <n v="7"/>
    <n v="4"/>
    <s v="Medical"/>
    <n v="1"/>
    <n v="462"/>
    <n v="3"/>
    <s v="Female"/>
    <n v="39"/>
    <n v="3"/>
    <n v="3"/>
    <x v="3"/>
    <n v="4"/>
    <s v="Single"/>
    <n v="7143"/>
    <n v="25713"/>
    <n v="1"/>
    <s v="Y"/>
    <x v="0"/>
    <n v="14"/>
    <n v="3"/>
    <n v="3"/>
    <n v="80"/>
    <n v="0"/>
    <n v="11"/>
    <n v="2"/>
    <n v="2"/>
    <n v="11"/>
    <n v="9"/>
    <n v="4"/>
    <n v="10"/>
    <x v="1"/>
    <x v="1"/>
    <x v="2"/>
  </r>
  <r>
    <n v="29"/>
    <x v="1"/>
    <s v="Travel_Rarely"/>
    <n v="144"/>
    <x v="0"/>
    <n v="10"/>
    <n v="1"/>
    <s v="Marketing"/>
    <n v="1"/>
    <n v="463"/>
    <n v="4"/>
    <s v="Female"/>
    <n v="39"/>
    <n v="2"/>
    <n v="2"/>
    <x v="0"/>
    <n v="2"/>
    <s v="Divorced"/>
    <n v="8268"/>
    <n v="11866"/>
    <n v="1"/>
    <s v="Y"/>
    <x v="0"/>
    <n v="14"/>
    <n v="3"/>
    <n v="1"/>
    <n v="80"/>
    <n v="2"/>
    <n v="7"/>
    <n v="2"/>
    <n v="3"/>
    <n v="7"/>
    <n v="7"/>
    <n v="1"/>
    <n v="7"/>
    <x v="1"/>
    <x v="2"/>
    <x v="2"/>
  </r>
  <r>
    <n v="35"/>
    <x v="1"/>
    <s v="Travel_Rarely"/>
    <n v="1296"/>
    <x v="1"/>
    <n v="5"/>
    <n v="4"/>
    <s v="Technical Degree"/>
    <n v="1"/>
    <n v="464"/>
    <n v="3"/>
    <s v="Male"/>
    <n v="62"/>
    <n v="3"/>
    <n v="3"/>
    <x v="3"/>
    <n v="2"/>
    <s v="Single"/>
    <n v="8095"/>
    <n v="18264"/>
    <n v="0"/>
    <s v="Y"/>
    <x v="1"/>
    <n v="13"/>
    <n v="3"/>
    <n v="4"/>
    <n v="80"/>
    <n v="0"/>
    <n v="17"/>
    <n v="5"/>
    <n v="3"/>
    <n v="16"/>
    <n v="6"/>
    <n v="0"/>
    <n v="13"/>
    <x v="1"/>
    <x v="1"/>
    <x v="2"/>
  </r>
  <r>
    <n v="23"/>
    <x v="1"/>
    <s v="Travel_Rarely"/>
    <n v="1309"/>
    <x v="1"/>
    <n v="26"/>
    <n v="1"/>
    <s v="Life Sciences"/>
    <n v="1"/>
    <n v="465"/>
    <n v="3"/>
    <s v="Male"/>
    <n v="83"/>
    <n v="3"/>
    <n v="1"/>
    <x v="1"/>
    <n v="4"/>
    <s v="Divorced"/>
    <n v="2904"/>
    <n v="16092"/>
    <n v="1"/>
    <s v="Y"/>
    <x v="1"/>
    <n v="12"/>
    <n v="3"/>
    <n v="3"/>
    <n v="80"/>
    <n v="2"/>
    <n v="4"/>
    <n v="2"/>
    <n v="2"/>
    <n v="4"/>
    <n v="2"/>
    <n v="0"/>
    <n v="2"/>
    <x v="1"/>
    <x v="2"/>
    <x v="1"/>
  </r>
  <r>
    <n v="41"/>
    <x v="1"/>
    <s v="Travel_Rarely"/>
    <n v="483"/>
    <x v="1"/>
    <n v="6"/>
    <n v="3"/>
    <s v="Medical"/>
    <n v="1"/>
    <n v="466"/>
    <n v="4"/>
    <s v="Male"/>
    <n v="95"/>
    <n v="2"/>
    <n v="2"/>
    <x v="3"/>
    <n v="2"/>
    <s v="Single"/>
    <n v="6032"/>
    <n v="10110"/>
    <n v="6"/>
    <s v="Y"/>
    <x v="0"/>
    <n v="15"/>
    <n v="3"/>
    <n v="4"/>
    <n v="80"/>
    <n v="0"/>
    <n v="8"/>
    <n v="3"/>
    <n v="3"/>
    <n v="5"/>
    <n v="4"/>
    <n v="1"/>
    <n v="2"/>
    <x v="1"/>
    <x v="0"/>
    <x v="0"/>
  </r>
  <r>
    <n v="47"/>
    <x v="1"/>
    <s v="Travel_Frequently"/>
    <n v="1309"/>
    <x v="0"/>
    <n v="4"/>
    <n v="1"/>
    <s v="Medical"/>
    <n v="1"/>
    <n v="467"/>
    <n v="2"/>
    <s v="Male"/>
    <n v="99"/>
    <n v="3"/>
    <n v="2"/>
    <x v="6"/>
    <n v="3"/>
    <s v="Single"/>
    <n v="2976"/>
    <n v="25751"/>
    <n v="3"/>
    <s v="Y"/>
    <x v="1"/>
    <n v="19"/>
    <n v="3"/>
    <n v="1"/>
    <n v="80"/>
    <n v="0"/>
    <n v="5"/>
    <n v="3"/>
    <n v="3"/>
    <n v="0"/>
    <n v="0"/>
    <n v="0"/>
    <n v="0"/>
    <x v="1"/>
    <x v="0"/>
    <x v="1"/>
  </r>
  <r>
    <n v="42"/>
    <x v="1"/>
    <s v="Travel_Rarely"/>
    <n v="810"/>
    <x v="1"/>
    <n v="23"/>
    <n v="5"/>
    <s v="Life Sciences"/>
    <n v="1"/>
    <n v="468"/>
    <n v="1"/>
    <s v="Female"/>
    <n v="44"/>
    <n v="3"/>
    <n v="4"/>
    <x v="7"/>
    <n v="4"/>
    <s v="Single"/>
    <n v="15992"/>
    <n v="15901"/>
    <n v="2"/>
    <s v="Y"/>
    <x v="1"/>
    <n v="14"/>
    <n v="3"/>
    <n v="2"/>
    <n v="80"/>
    <n v="0"/>
    <n v="16"/>
    <n v="2"/>
    <n v="3"/>
    <n v="1"/>
    <n v="0"/>
    <n v="0"/>
    <n v="0"/>
    <x v="1"/>
    <x v="0"/>
    <x v="2"/>
  </r>
  <r>
    <n v="29"/>
    <x v="1"/>
    <s v="Non-Travel"/>
    <n v="746"/>
    <x v="0"/>
    <n v="2"/>
    <n v="3"/>
    <s v="Life Sciences"/>
    <n v="1"/>
    <n v="469"/>
    <n v="4"/>
    <s v="Male"/>
    <n v="61"/>
    <n v="3"/>
    <n v="2"/>
    <x v="0"/>
    <n v="3"/>
    <s v="Married"/>
    <n v="4649"/>
    <n v="16928"/>
    <n v="1"/>
    <s v="Y"/>
    <x v="1"/>
    <n v="14"/>
    <n v="3"/>
    <n v="1"/>
    <n v="80"/>
    <n v="1"/>
    <n v="4"/>
    <n v="3"/>
    <n v="2"/>
    <n v="4"/>
    <n v="3"/>
    <n v="0"/>
    <n v="2"/>
    <x v="1"/>
    <x v="2"/>
    <x v="0"/>
  </r>
  <r>
    <n v="42"/>
    <x v="1"/>
    <s v="Travel_Rarely"/>
    <n v="544"/>
    <x v="2"/>
    <n v="2"/>
    <n v="1"/>
    <s v="Technical Degree"/>
    <n v="1"/>
    <n v="470"/>
    <n v="3"/>
    <s v="Male"/>
    <n v="52"/>
    <n v="3"/>
    <n v="1"/>
    <x v="8"/>
    <n v="3"/>
    <s v="Divorced"/>
    <n v="2696"/>
    <n v="24017"/>
    <n v="0"/>
    <s v="Y"/>
    <x v="0"/>
    <n v="11"/>
    <n v="3"/>
    <n v="3"/>
    <n v="80"/>
    <n v="1"/>
    <n v="4"/>
    <n v="5"/>
    <n v="3"/>
    <n v="3"/>
    <n v="2"/>
    <n v="1"/>
    <n v="0"/>
    <x v="1"/>
    <x v="0"/>
    <x v="1"/>
  </r>
  <r>
    <n v="32"/>
    <x v="1"/>
    <s v="Travel_Rarely"/>
    <n v="1062"/>
    <x v="1"/>
    <n v="2"/>
    <n v="3"/>
    <s v="Medical"/>
    <n v="1"/>
    <n v="471"/>
    <n v="3"/>
    <s v="Female"/>
    <n v="75"/>
    <n v="3"/>
    <n v="1"/>
    <x v="2"/>
    <n v="2"/>
    <s v="Married"/>
    <n v="2370"/>
    <n v="3956"/>
    <n v="1"/>
    <s v="Y"/>
    <x v="1"/>
    <n v="13"/>
    <n v="3"/>
    <n v="3"/>
    <n v="80"/>
    <n v="1"/>
    <n v="8"/>
    <n v="4"/>
    <n v="3"/>
    <n v="8"/>
    <n v="0"/>
    <n v="0"/>
    <n v="7"/>
    <x v="1"/>
    <x v="1"/>
    <x v="1"/>
  </r>
  <r>
    <n v="48"/>
    <x v="1"/>
    <s v="Travel_Rarely"/>
    <n v="530"/>
    <x v="0"/>
    <n v="29"/>
    <n v="1"/>
    <s v="Medical"/>
    <n v="1"/>
    <n v="473"/>
    <n v="1"/>
    <s v="Female"/>
    <n v="91"/>
    <n v="3"/>
    <n v="3"/>
    <x v="5"/>
    <n v="3"/>
    <s v="Married"/>
    <n v="12504"/>
    <n v="23978"/>
    <n v="3"/>
    <s v="Y"/>
    <x v="1"/>
    <n v="21"/>
    <n v="4"/>
    <n v="2"/>
    <n v="80"/>
    <n v="1"/>
    <n v="15"/>
    <n v="3"/>
    <n v="1"/>
    <n v="0"/>
    <n v="0"/>
    <n v="0"/>
    <n v="0"/>
    <x v="1"/>
    <x v="0"/>
    <x v="2"/>
  </r>
  <r>
    <n v="37"/>
    <x v="1"/>
    <s v="Travel_Rarely"/>
    <n v="1319"/>
    <x v="1"/>
    <n v="6"/>
    <n v="3"/>
    <s v="Medical"/>
    <n v="1"/>
    <n v="474"/>
    <n v="3"/>
    <s v="Male"/>
    <n v="51"/>
    <n v="4"/>
    <n v="2"/>
    <x v="1"/>
    <n v="1"/>
    <s v="Divorced"/>
    <n v="5974"/>
    <n v="17001"/>
    <n v="4"/>
    <s v="Y"/>
    <x v="0"/>
    <n v="13"/>
    <n v="3"/>
    <n v="1"/>
    <n v="80"/>
    <n v="2"/>
    <n v="13"/>
    <n v="2"/>
    <n v="3"/>
    <n v="7"/>
    <n v="7"/>
    <n v="6"/>
    <n v="7"/>
    <x v="1"/>
    <x v="1"/>
    <x v="0"/>
  </r>
  <r>
    <n v="30"/>
    <x v="1"/>
    <s v="Non-Travel"/>
    <n v="641"/>
    <x v="0"/>
    <n v="25"/>
    <n v="2"/>
    <s v="Technical Degree"/>
    <n v="1"/>
    <n v="475"/>
    <n v="4"/>
    <s v="Female"/>
    <n v="85"/>
    <n v="3"/>
    <n v="2"/>
    <x v="0"/>
    <n v="3"/>
    <s v="Married"/>
    <n v="4736"/>
    <n v="6069"/>
    <n v="7"/>
    <s v="Y"/>
    <x v="0"/>
    <n v="12"/>
    <n v="3"/>
    <n v="2"/>
    <n v="80"/>
    <n v="1"/>
    <n v="4"/>
    <n v="2"/>
    <n v="4"/>
    <n v="2"/>
    <n v="2"/>
    <n v="2"/>
    <n v="2"/>
    <x v="1"/>
    <x v="1"/>
    <x v="0"/>
  </r>
  <r>
    <n v="26"/>
    <x v="1"/>
    <s v="Travel_Rarely"/>
    <n v="933"/>
    <x v="0"/>
    <n v="1"/>
    <n v="3"/>
    <s v="Life Sciences"/>
    <n v="1"/>
    <n v="476"/>
    <n v="3"/>
    <s v="Male"/>
    <n v="57"/>
    <n v="3"/>
    <n v="2"/>
    <x v="0"/>
    <n v="3"/>
    <s v="Married"/>
    <n v="5296"/>
    <n v="20156"/>
    <n v="1"/>
    <s v="Y"/>
    <x v="1"/>
    <n v="17"/>
    <n v="3"/>
    <n v="2"/>
    <n v="80"/>
    <n v="1"/>
    <n v="8"/>
    <n v="3"/>
    <n v="3"/>
    <n v="8"/>
    <n v="7"/>
    <n v="7"/>
    <n v="7"/>
    <x v="1"/>
    <x v="2"/>
    <x v="0"/>
  </r>
  <r>
    <n v="42"/>
    <x v="1"/>
    <s v="Travel_Rarely"/>
    <n v="1332"/>
    <x v="1"/>
    <n v="2"/>
    <n v="4"/>
    <s v="Other"/>
    <n v="1"/>
    <n v="477"/>
    <n v="1"/>
    <s v="Male"/>
    <n v="98"/>
    <n v="2"/>
    <n v="2"/>
    <x v="4"/>
    <n v="4"/>
    <s v="Single"/>
    <n v="6781"/>
    <n v="17078"/>
    <n v="3"/>
    <s v="Y"/>
    <x v="1"/>
    <n v="23"/>
    <n v="4"/>
    <n v="2"/>
    <n v="80"/>
    <n v="0"/>
    <n v="14"/>
    <n v="6"/>
    <n v="3"/>
    <n v="1"/>
    <n v="0"/>
    <n v="0"/>
    <n v="0"/>
    <x v="1"/>
    <x v="0"/>
    <x v="0"/>
  </r>
  <r>
    <n v="21"/>
    <x v="0"/>
    <s v="Travel_Frequently"/>
    <n v="756"/>
    <x v="0"/>
    <n v="1"/>
    <n v="1"/>
    <s v="Technical Degree"/>
    <n v="1"/>
    <n v="478"/>
    <n v="1"/>
    <s v="Female"/>
    <n v="99"/>
    <n v="2"/>
    <n v="1"/>
    <x v="6"/>
    <n v="2"/>
    <s v="Single"/>
    <n v="2174"/>
    <n v="9150"/>
    <n v="1"/>
    <s v="Y"/>
    <x v="0"/>
    <n v="11"/>
    <n v="3"/>
    <n v="3"/>
    <n v="80"/>
    <n v="0"/>
    <n v="3"/>
    <n v="3"/>
    <n v="3"/>
    <n v="3"/>
    <n v="2"/>
    <n v="1"/>
    <n v="2"/>
    <x v="0"/>
    <x v="2"/>
    <x v="1"/>
  </r>
  <r>
    <n v="36"/>
    <x v="1"/>
    <s v="Non-Travel"/>
    <n v="845"/>
    <x v="0"/>
    <n v="1"/>
    <n v="5"/>
    <s v="Medical"/>
    <n v="1"/>
    <n v="479"/>
    <n v="4"/>
    <s v="Female"/>
    <n v="45"/>
    <n v="3"/>
    <n v="2"/>
    <x v="0"/>
    <n v="4"/>
    <s v="Single"/>
    <n v="6653"/>
    <n v="15276"/>
    <n v="4"/>
    <s v="Y"/>
    <x v="1"/>
    <n v="15"/>
    <n v="3"/>
    <n v="2"/>
    <n v="80"/>
    <n v="0"/>
    <n v="7"/>
    <n v="6"/>
    <n v="3"/>
    <n v="1"/>
    <n v="0"/>
    <n v="0"/>
    <n v="0"/>
    <x v="1"/>
    <x v="1"/>
    <x v="0"/>
  </r>
  <r>
    <n v="36"/>
    <x v="1"/>
    <s v="Travel_Frequently"/>
    <n v="541"/>
    <x v="0"/>
    <n v="3"/>
    <n v="4"/>
    <s v="Medical"/>
    <n v="1"/>
    <n v="481"/>
    <n v="1"/>
    <s v="Male"/>
    <n v="48"/>
    <n v="2"/>
    <n v="3"/>
    <x v="0"/>
    <n v="4"/>
    <s v="Married"/>
    <n v="9699"/>
    <n v="7246"/>
    <n v="4"/>
    <s v="Y"/>
    <x v="1"/>
    <n v="11"/>
    <n v="3"/>
    <n v="1"/>
    <n v="80"/>
    <n v="1"/>
    <n v="16"/>
    <n v="2"/>
    <n v="3"/>
    <n v="13"/>
    <n v="9"/>
    <n v="1"/>
    <n v="12"/>
    <x v="1"/>
    <x v="1"/>
    <x v="2"/>
  </r>
  <r>
    <n v="57"/>
    <x v="1"/>
    <s v="Travel_Rarely"/>
    <n v="593"/>
    <x v="1"/>
    <n v="1"/>
    <n v="4"/>
    <s v="Medical"/>
    <n v="1"/>
    <n v="482"/>
    <n v="4"/>
    <s v="Male"/>
    <n v="88"/>
    <n v="3"/>
    <n v="2"/>
    <x v="4"/>
    <n v="3"/>
    <s v="Married"/>
    <n v="6755"/>
    <n v="2967"/>
    <n v="2"/>
    <s v="Y"/>
    <x v="1"/>
    <n v="11"/>
    <n v="3"/>
    <n v="3"/>
    <n v="80"/>
    <n v="0"/>
    <n v="15"/>
    <n v="2"/>
    <n v="3"/>
    <n v="3"/>
    <n v="2"/>
    <n v="1"/>
    <n v="2"/>
    <x v="1"/>
    <x v="3"/>
    <x v="0"/>
  </r>
  <r>
    <n v="40"/>
    <x v="1"/>
    <s v="Travel_Rarely"/>
    <n v="1171"/>
    <x v="1"/>
    <n v="10"/>
    <n v="4"/>
    <s v="Life Sciences"/>
    <n v="1"/>
    <n v="483"/>
    <n v="4"/>
    <s v="Female"/>
    <n v="46"/>
    <n v="4"/>
    <n v="1"/>
    <x v="2"/>
    <n v="3"/>
    <s v="Married"/>
    <n v="2213"/>
    <n v="22495"/>
    <n v="3"/>
    <s v="Y"/>
    <x v="0"/>
    <n v="13"/>
    <n v="3"/>
    <n v="3"/>
    <n v="80"/>
    <n v="1"/>
    <n v="10"/>
    <n v="3"/>
    <n v="3"/>
    <n v="7"/>
    <n v="7"/>
    <n v="1"/>
    <n v="7"/>
    <x v="1"/>
    <x v="0"/>
    <x v="1"/>
  </r>
  <r>
    <n v="21"/>
    <x v="1"/>
    <s v="Non-Travel"/>
    <n v="895"/>
    <x v="0"/>
    <n v="9"/>
    <n v="2"/>
    <s v="Medical"/>
    <n v="1"/>
    <n v="484"/>
    <n v="1"/>
    <s v="Male"/>
    <n v="39"/>
    <n v="3"/>
    <n v="1"/>
    <x v="6"/>
    <n v="4"/>
    <s v="Single"/>
    <n v="2610"/>
    <n v="2851"/>
    <n v="1"/>
    <s v="Y"/>
    <x v="1"/>
    <n v="24"/>
    <n v="4"/>
    <n v="3"/>
    <n v="80"/>
    <n v="0"/>
    <n v="3"/>
    <n v="3"/>
    <n v="2"/>
    <n v="3"/>
    <n v="2"/>
    <n v="2"/>
    <n v="2"/>
    <x v="1"/>
    <x v="2"/>
    <x v="1"/>
  </r>
  <r>
    <n v="33"/>
    <x v="0"/>
    <s v="Travel_Rarely"/>
    <n v="350"/>
    <x v="0"/>
    <n v="5"/>
    <n v="3"/>
    <s v="Marketing"/>
    <n v="1"/>
    <n v="485"/>
    <n v="4"/>
    <s v="Female"/>
    <n v="34"/>
    <n v="3"/>
    <n v="1"/>
    <x v="6"/>
    <n v="3"/>
    <s v="Single"/>
    <n v="2851"/>
    <n v="9150"/>
    <n v="1"/>
    <s v="Y"/>
    <x v="0"/>
    <n v="13"/>
    <n v="3"/>
    <n v="2"/>
    <n v="80"/>
    <n v="0"/>
    <n v="1"/>
    <n v="2"/>
    <n v="3"/>
    <n v="1"/>
    <n v="0"/>
    <n v="0"/>
    <n v="0"/>
    <x v="0"/>
    <x v="1"/>
    <x v="1"/>
  </r>
  <r>
    <n v="37"/>
    <x v="1"/>
    <s v="Travel_Rarely"/>
    <n v="921"/>
    <x v="1"/>
    <n v="10"/>
    <n v="3"/>
    <s v="Medical"/>
    <n v="1"/>
    <n v="486"/>
    <n v="3"/>
    <s v="Female"/>
    <n v="98"/>
    <n v="3"/>
    <n v="1"/>
    <x v="2"/>
    <n v="1"/>
    <s v="Married"/>
    <n v="3452"/>
    <n v="17663"/>
    <n v="6"/>
    <s v="Y"/>
    <x v="1"/>
    <n v="20"/>
    <n v="4"/>
    <n v="2"/>
    <n v="80"/>
    <n v="1"/>
    <n v="17"/>
    <n v="3"/>
    <n v="3"/>
    <n v="5"/>
    <n v="4"/>
    <n v="0"/>
    <n v="3"/>
    <x v="1"/>
    <x v="1"/>
    <x v="0"/>
  </r>
  <r>
    <n v="46"/>
    <x v="1"/>
    <s v="Non-Travel"/>
    <n v="1144"/>
    <x v="1"/>
    <n v="7"/>
    <n v="4"/>
    <s v="Medical"/>
    <n v="1"/>
    <n v="487"/>
    <n v="3"/>
    <s v="Female"/>
    <n v="30"/>
    <n v="3"/>
    <n v="2"/>
    <x v="3"/>
    <n v="3"/>
    <s v="Married"/>
    <n v="5258"/>
    <n v="16044"/>
    <n v="2"/>
    <s v="Y"/>
    <x v="1"/>
    <n v="14"/>
    <n v="3"/>
    <n v="3"/>
    <n v="80"/>
    <n v="0"/>
    <n v="7"/>
    <n v="2"/>
    <n v="4"/>
    <n v="1"/>
    <n v="0"/>
    <n v="0"/>
    <n v="0"/>
    <x v="1"/>
    <x v="0"/>
    <x v="0"/>
  </r>
  <r>
    <n v="41"/>
    <x v="0"/>
    <s v="Travel_Frequently"/>
    <n v="143"/>
    <x v="0"/>
    <n v="4"/>
    <n v="3"/>
    <s v="Marketing"/>
    <n v="1"/>
    <n v="488"/>
    <n v="1"/>
    <s v="Male"/>
    <n v="56"/>
    <n v="3"/>
    <n v="2"/>
    <x v="0"/>
    <n v="2"/>
    <s v="Single"/>
    <n v="9355"/>
    <n v="9558"/>
    <n v="1"/>
    <s v="Y"/>
    <x v="1"/>
    <n v="18"/>
    <n v="3"/>
    <n v="3"/>
    <n v="80"/>
    <n v="0"/>
    <n v="8"/>
    <n v="5"/>
    <n v="3"/>
    <n v="8"/>
    <n v="7"/>
    <n v="7"/>
    <n v="7"/>
    <x v="0"/>
    <x v="0"/>
    <x v="2"/>
  </r>
  <r>
    <n v="50"/>
    <x v="1"/>
    <s v="Travel_Rarely"/>
    <n v="1046"/>
    <x v="1"/>
    <n v="10"/>
    <n v="3"/>
    <s v="Technical Degree"/>
    <n v="1"/>
    <n v="491"/>
    <n v="4"/>
    <s v="Male"/>
    <n v="100"/>
    <n v="2"/>
    <n v="3"/>
    <x v="4"/>
    <n v="4"/>
    <s v="Single"/>
    <n v="10496"/>
    <n v="2755"/>
    <n v="6"/>
    <s v="Y"/>
    <x v="1"/>
    <n v="15"/>
    <n v="3"/>
    <n v="4"/>
    <n v="80"/>
    <n v="0"/>
    <n v="20"/>
    <n v="2"/>
    <n v="3"/>
    <n v="4"/>
    <n v="3"/>
    <n v="1"/>
    <n v="3"/>
    <x v="1"/>
    <x v="3"/>
    <x v="2"/>
  </r>
  <r>
    <n v="40"/>
    <x v="0"/>
    <s v="Travel_Rarely"/>
    <n v="575"/>
    <x v="0"/>
    <n v="22"/>
    <n v="2"/>
    <s v="Marketing"/>
    <n v="1"/>
    <n v="492"/>
    <n v="3"/>
    <s v="Male"/>
    <n v="68"/>
    <n v="2"/>
    <n v="2"/>
    <x v="0"/>
    <n v="3"/>
    <s v="Married"/>
    <n v="6380"/>
    <n v="6110"/>
    <n v="2"/>
    <s v="Y"/>
    <x v="0"/>
    <n v="12"/>
    <n v="3"/>
    <n v="1"/>
    <n v="80"/>
    <n v="2"/>
    <n v="8"/>
    <n v="6"/>
    <n v="3"/>
    <n v="6"/>
    <n v="4"/>
    <n v="1"/>
    <n v="0"/>
    <x v="0"/>
    <x v="0"/>
    <x v="0"/>
  </r>
  <r>
    <n v="31"/>
    <x v="1"/>
    <s v="Travel_Rarely"/>
    <n v="408"/>
    <x v="1"/>
    <n v="9"/>
    <n v="4"/>
    <s v="Life Sciences"/>
    <n v="1"/>
    <n v="493"/>
    <n v="3"/>
    <s v="Male"/>
    <n v="42"/>
    <n v="2"/>
    <n v="1"/>
    <x v="1"/>
    <n v="2"/>
    <s v="Single"/>
    <n v="2657"/>
    <n v="7551"/>
    <n v="0"/>
    <s v="Y"/>
    <x v="0"/>
    <n v="16"/>
    <n v="3"/>
    <n v="4"/>
    <n v="80"/>
    <n v="0"/>
    <n v="3"/>
    <n v="5"/>
    <n v="3"/>
    <n v="2"/>
    <n v="2"/>
    <n v="2"/>
    <n v="2"/>
    <x v="1"/>
    <x v="1"/>
    <x v="1"/>
  </r>
  <r>
    <n v="21"/>
    <x v="0"/>
    <s v="Travel_Rarely"/>
    <n v="156"/>
    <x v="0"/>
    <n v="12"/>
    <n v="3"/>
    <s v="Life Sciences"/>
    <n v="1"/>
    <n v="494"/>
    <n v="3"/>
    <s v="Female"/>
    <n v="90"/>
    <n v="4"/>
    <n v="1"/>
    <x v="6"/>
    <n v="2"/>
    <s v="Single"/>
    <n v="2716"/>
    <n v="25422"/>
    <n v="1"/>
    <s v="Y"/>
    <x v="1"/>
    <n v="15"/>
    <n v="3"/>
    <n v="4"/>
    <n v="80"/>
    <n v="0"/>
    <n v="1"/>
    <n v="0"/>
    <n v="3"/>
    <n v="1"/>
    <n v="0"/>
    <n v="0"/>
    <n v="0"/>
    <x v="0"/>
    <x v="2"/>
    <x v="1"/>
  </r>
  <r>
    <n v="29"/>
    <x v="1"/>
    <s v="Travel_Rarely"/>
    <n v="1283"/>
    <x v="1"/>
    <n v="23"/>
    <n v="3"/>
    <s v="Life Sciences"/>
    <n v="1"/>
    <n v="495"/>
    <n v="4"/>
    <s v="Male"/>
    <n v="54"/>
    <n v="3"/>
    <n v="1"/>
    <x v="1"/>
    <n v="4"/>
    <s v="Single"/>
    <n v="2201"/>
    <n v="18168"/>
    <n v="9"/>
    <s v="Y"/>
    <x v="1"/>
    <n v="16"/>
    <n v="3"/>
    <n v="4"/>
    <n v="80"/>
    <n v="0"/>
    <n v="6"/>
    <n v="4"/>
    <n v="3"/>
    <n v="3"/>
    <n v="2"/>
    <n v="1"/>
    <n v="2"/>
    <x v="1"/>
    <x v="2"/>
    <x v="1"/>
  </r>
  <r>
    <n v="35"/>
    <x v="1"/>
    <s v="Travel_Rarely"/>
    <n v="755"/>
    <x v="1"/>
    <n v="9"/>
    <n v="4"/>
    <s v="Life Sciences"/>
    <n v="1"/>
    <n v="496"/>
    <n v="3"/>
    <s v="Male"/>
    <n v="97"/>
    <n v="2"/>
    <n v="2"/>
    <x v="4"/>
    <n v="2"/>
    <s v="Single"/>
    <n v="6540"/>
    <n v="19394"/>
    <n v="9"/>
    <s v="Y"/>
    <x v="1"/>
    <n v="19"/>
    <n v="3"/>
    <n v="3"/>
    <n v="80"/>
    <n v="0"/>
    <n v="10"/>
    <n v="5"/>
    <n v="3"/>
    <n v="1"/>
    <n v="1"/>
    <n v="0"/>
    <n v="0"/>
    <x v="1"/>
    <x v="1"/>
    <x v="0"/>
  </r>
  <r>
    <n v="27"/>
    <x v="1"/>
    <s v="Travel_Rarely"/>
    <n v="1469"/>
    <x v="1"/>
    <n v="1"/>
    <n v="2"/>
    <s v="Medical"/>
    <n v="1"/>
    <n v="497"/>
    <n v="4"/>
    <s v="Male"/>
    <n v="82"/>
    <n v="3"/>
    <n v="1"/>
    <x v="2"/>
    <n v="2"/>
    <s v="Divorced"/>
    <n v="3816"/>
    <n v="17881"/>
    <n v="1"/>
    <s v="Y"/>
    <x v="1"/>
    <n v="11"/>
    <n v="3"/>
    <n v="2"/>
    <n v="80"/>
    <n v="1"/>
    <n v="5"/>
    <n v="2"/>
    <n v="3"/>
    <n v="5"/>
    <n v="2"/>
    <n v="0"/>
    <n v="4"/>
    <x v="1"/>
    <x v="2"/>
    <x v="0"/>
  </r>
  <r>
    <n v="28"/>
    <x v="1"/>
    <s v="Travel_Rarely"/>
    <n v="304"/>
    <x v="0"/>
    <n v="9"/>
    <n v="4"/>
    <s v="Life Sciences"/>
    <n v="1"/>
    <n v="498"/>
    <n v="2"/>
    <s v="Male"/>
    <n v="92"/>
    <n v="3"/>
    <n v="2"/>
    <x v="0"/>
    <n v="4"/>
    <s v="Single"/>
    <n v="5253"/>
    <n v="20750"/>
    <n v="1"/>
    <s v="Y"/>
    <x v="1"/>
    <n v="16"/>
    <n v="3"/>
    <n v="4"/>
    <n v="80"/>
    <n v="0"/>
    <n v="7"/>
    <n v="1"/>
    <n v="3"/>
    <n v="7"/>
    <n v="5"/>
    <n v="0"/>
    <n v="7"/>
    <x v="1"/>
    <x v="2"/>
    <x v="0"/>
  </r>
  <r>
    <n v="49"/>
    <x v="1"/>
    <s v="Travel_Rarely"/>
    <n v="1261"/>
    <x v="1"/>
    <n v="7"/>
    <n v="3"/>
    <s v="Other"/>
    <n v="1"/>
    <n v="499"/>
    <n v="2"/>
    <s v="Male"/>
    <n v="31"/>
    <n v="2"/>
    <n v="3"/>
    <x v="4"/>
    <n v="3"/>
    <s v="Single"/>
    <n v="10965"/>
    <n v="12066"/>
    <n v="8"/>
    <s v="Y"/>
    <x v="1"/>
    <n v="24"/>
    <n v="4"/>
    <n v="3"/>
    <n v="80"/>
    <n v="0"/>
    <n v="26"/>
    <n v="2"/>
    <n v="3"/>
    <n v="5"/>
    <n v="2"/>
    <n v="0"/>
    <n v="0"/>
    <x v="1"/>
    <x v="0"/>
    <x v="2"/>
  </r>
  <r>
    <n v="51"/>
    <x v="1"/>
    <s v="Travel_Rarely"/>
    <n v="1178"/>
    <x v="0"/>
    <n v="14"/>
    <n v="2"/>
    <s v="Life Sciences"/>
    <n v="1"/>
    <n v="500"/>
    <n v="3"/>
    <s v="Female"/>
    <n v="87"/>
    <n v="3"/>
    <n v="2"/>
    <x v="0"/>
    <n v="4"/>
    <s v="Married"/>
    <n v="4936"/>
    <n v="14862"/>
    <n v="4"/>
    <s v="Y"/>
    <x v="1"/>
    <n v="11"/>
    <n v="3"/>
    <n v="3"/>
    <n v="80"/>
    <n v="1"/>
    <n v="18"/>
    <n v="2"/>
    <n v="2"/>
    <n v="7"/>
    <n v="7"/>
    <n v="0"/>
    <n v="7"/>
    <x v="1"/>
    <x v="3"/>
    <x v="0"/>
  </r>
  <r>
    <n v="36"/>
    <x v="1"/>
    <s v="Travel_Rarely"/>
    <n v="329"/>
    <x v="1"/>
    <n v="2"/>
    <n v="3"/>
    <s v="Life Sciences"/>
    <n v="1"/>
    <n v="501"/>
    <n v="4"/>
    <s v="Female"/>
    <n v="96"/>
    <n v="3"/>
    <n v="1"/>
    <x v="1"/>
    <n v="3"/>
    <s v="Married"/>
    <n v="2543"/>
    <n v="11868"/>
    <n v="4"/>
    <s v="Y"/>
    <x v="1"/>
    <n v="13"/>
    <n v="3"/>
    <n v="2"/>
    <n v="80"/>
    <n v="1"/>
    <n v="6"/>
    <n v="3"/>
    <n v="3"/>
    <n v="2"/>
    <n v="2"/>
    <n v="2"/>
    <n v="2"/>
    <x v="1"/>
    <x v="1"/>
    <x v="1"/>
  </r>
  <r>
    <n v="34"/>
    <x v="0"/>
    <s v="Non-Travel"/>
    <n v="1362"/>
    <x v="0"/>
    <n v="19"/>
    <n v="3"/>
    <s v="Marketing"/>
    <n v="1"/>
    <n v="502"/>
    <n v="1"/>
    <s v="Male"/>
    <n v="67"/>
    <n v="4"/>
    <n v="2"/>
    <x v="0"/>
    <n v="4"/>
    <s v="Single"/>
    <n v="5304"/>
    <n v="4652"/>
    <n v="8"/>
    <s v="Y"/>
    <x v="0"/>
    <n v="13"/>
    <n v="3"/>
    <n v="2"/>
    <n v="80"/>
    <n v="0"/>
    <n v="9"/>
    <n v="3"/>
    <n v="2"/>
    <n v="5"/>
    <n v="2"/>
    <n v="0"/>
    <n v="4"/>
    <x v="0"/>
    <x v="1"/>
    <x v="0"/>
  </r>
  <r>
    <n v="55"/>
    <x v="1"/>
    <s v="Travel_Rarely"/>
    <n v="1311"/>
    <x v="1"/>
    <n v="2"/>
    <n v="3"/>
    <s v="Life Sciences"/>
    <n v="1"/>
    <n v="505"/>
    <n v="3"/>
    <s v="Female"/>
    <n v="97"/>
    <n v="3"/>
    <n v="4"/>
    <x v="5"/>
    <n v="4"/>
    <s v="Single"/>
    <n v="16659"/>
    <n v="23258"/>
    <n v="2"/>
    <s v="Y"/>
    <x v="0"/>
    <n v="13"/>
    <n v="3"/>
    <n v="3"/>
    <n v="80"/>
    <n v="0"/>
    <n v="30"/>
    <n v="2"/>
    <n v="3"/>
    <n v="5"/>
    <n v="4"/>
    <n v="1"/>
    <n v="2"/>
    <x v="1"/>
    <x v="3"/>
    <x v="2"/>
  </r>
  <r>
    <n v="24"/>
    <x v="1"/>
    <s v="Travel_Rarely"/>
    <n v="1371"/>
    <x v="0"/>
    <n v="10"/>
    <n v="4"/>
    <s v="Marketing"/>
    <n v="1"/>
    <n v="507"/>
    <n v="4"/>
    <s v="Female"/>
    <n v="77"/>
    <n v="3"/>
    <n v="2"/>
    <x v="0"/>
    <n v="3"/>
    <s v="Divorced"/>
    <n v="4260"/>
    <n v="5915"/>
    <n v="1"/>
    <s v="Y"/>
    <x v="0"/>
    <n v="12"/>
    <n v="3"/>
    <n v="4"/>
    <n v="80"/>
    <n v="1"/>
    <n v="5"/>
    <n v="2"/>
    <n v="4"/>
    <n v="5"/>
    <n v="2"/>
    <n v="0"/>
    <n v="3"/>
    <x v="1"/>
    <x v="2"/>
    <x v="0"/>
  </r>
  <r>
    <n v="30"/>
    <x v="1"/>
    <s v="Travel_Rarely"/>
    <n v="202"/>
    <x v="0"/>
    <n v="2"/>
    <n v="1"/>
    <s v="Technical Degree"/>
    <n v="1"/>
    <n v="508"/>
    <n v="3"/>
    <s v="Male"/>
    <n v="72"/>
    <n v="3"/>
    <n v="1"/>
    <x v="6"/>
    <n v="2"/>
    <s v="Married"/>
    <n v="2476"/>
    <n v="17434"/>
    <n v="1"/>
    <s v="Y"/>
    <x v="1"/>
    <n v="18"/>
    <n v="3"/>
    <n v="1"/>
    <n v="80"/>
    <n v="1"/>
    <n v="1"/>
    <n v="3"/>
    <n v="3"/>
    <n v="1"/>
    <n v="0"/>
    <n v="0"/>
    <n v="0"/>
    <x v="1"/>
    <x v="1"/>
    <x v="1"/>
  </r>
  <r>
    <n v="26"/>
    <x v="0"/>
    <s v="Travel_Frequently"/>
    <n v="575"/>
    <x v="1"/>
    <n v="3"/>
    <n v="1"/>
    <s v="Technical Degree"/>
    <n v="1"/>
    <n v="510"/>
    <n v="3"/>
    <s v="Male"/>
    <n v="73"/>
    <n v="3"/>
    <n v="1"/>
    <x v="1"/>
    <n v="1"/>
    <s v="Single"/>
    <n v="3102"/>
    <n v="6582"/>
    <n v="0"/>
    <s v="Y"/>
    <x v="1"/>
    <n v="22"/>
    <n v="4"/>
    <n v="3"/>
    <n v="80"/>
    <n v="0"/>
    <n v="7"/>
    <n v="2"/>
    <n v="3"/>
    <n v="6"/>
    <n v="4"/>
    <n v="0"/>
    <n v="4"/>
    <x v="0"/>
    <x v="2"/>
    <x v="0"/>
  </r>
  <r>
    <n v="22"/>
    <x v="1"/>
    <s v="Travel_Rarely"/>
    <n v="253"/>
    <x v="1"/>
    <n v="11"/>
    <n v="3"/>
    <s v="Medical"/>
    <n v="1"/>
    <n v="511"/>
    <n v="1"/>
    <s v="Female"/>
    <n v="43"/>
    <n v="3"/>
    <n v="1"/>
    <x v="1"/>
    <n v="2"/>
    <s v="Married"/>
    <n v="2244"/>
    <n v="24440"/>
    <n v="1"/>
    <s v="Y"/>
    <x v="1"/>
    <n v="13"/>
    <n v="3"/>
    <n v="4"/>
    <n v="80"/>
    <n v="1"/>
    <n v="2"/>
    <n v="1"/>
    <n v="3"/>
    <n v="2"/>
    <n v="1"/>
    <n v="1"/>
    <n v="2"/>
    <x v="1"/>
    <x v="2"/>
    <x v="1"/>
  </r>
  <r>
    <n v="36"/>
    <x v="1"/>
    <s v="Travel_Rarely"/>
    <n v="164"/>
    <x v="0"/>
    <n v="2"/>
    <n v="2"/>
    <s v="Medical"/>
    <n v="1"/>
    <n v="513"/>
    <n v="2"/>
    <s v="Male"/>
    <n v="61"/>
    <n v="2"/>
    <n v="3"/>
    <x v="0"/>
    <n v="3"/>
    <s v="Married"/>
    <n v="7596"/>
    <n v="3809"/>
    <n v="1"/>
    <s v="Y"/>
    <x v="1"/>
    <n v="13"/>
    <n v="3"/>
    <n v="2"/>
    <n v="80"/>
    <n v="2"/>
    <n v="10"/>
    <n v="2"/>
    <n v="3"/>
    <n v="10"/>
    <n v="9"/>
    <n v="9"/>
    <n v="0"/>
    <x v="1"/>
    <x v="1"/>
    <x v="2"/>
  </r>
  <r>
    <n v="30"/>
    <x v="0"/>
    <s v="Travel_Frequently"/>
    <n v="464"/>
    <x v="1"/>
    <n v="4"/>
    <n v="3"/>
    <s v="Technical Degree"/>
    <n v="1"/>
    <n v="514"/>
    <n v="3"/>
    <s v="Male"/>
    <n v="40"/>
    <n v="3"/>
    <n v="1"/>
    <x v="1"/>
    <n v="4"/>
    <s v="Single"/>
    <n v="2285"/>
    <n v="3427"/>
    <n v="9"/>
    <s v="Y"/>
    <x v="0"/>
    <n v="23"/>
    <n v="4"/>
    <n v="3"/>
    <n v="80"/>
    <n v="0"/>
    <n v="3"/>
    <n v="4"/>
    <n v="3"/>
    <n v="1"/>
    <n v="0"/>
    <n v="0"/>
    <n v="0"/>
    <x v="0"/>
    <x v="1"/>
    <x v="1"/>
  </r>
  <r>
    <n v="37"/>
    <x v="1"/>
    <s v="Travel_Rarely"/>
    <n v="1107"/>
    <x v="1"/>
    <n v="14"/>
    <n v="3"/>
    <s v="Life Sciences"/>
    <n v="1"/>
    <n v="515"/>
    <n v="4"/>
    <s v="Female"/>
    <n v="95"/>
    <n v="3"/>
    <n v="1"/>
    <x v="2"/>
    <n v="1"/>
    <s v="Divorced"/>
    <n v="3034"/>
    <n v="26914"/>
    <n v="1"/>
    <s v="Y"/>
    <x v="1"/>
    <n v="12"/>
    <n v="3"/>
    <n v="3"/>
    <n v="80"/>
    <n v="1"/>
    <n v="18"/>
    <n v="2"/>
    <n v="2"/>
    <n v="18"/>
    <n v="7"/>
    <n v="12"/>
    <n v="17"/>
    <x v="1"/>
    <x v="1"/>
    <x v="0"/>
  </r>
  <r>
    <n v="40"/>
    <x v="1"/>
    <s v="Travel_Rarely"/>
    <n v="759"/>
    <x v="0"/>
    <n v="2"/>
    <n v="2"/>
    <s v="Marketing"/>
    <n v="1"/>
    <n v="516"/>
    <n v="4"/>
    <s v="Female"/>
    <n v="46"/>
    <n v="3"/>
    <n v="2"/>
    <x v="0"/>
    <n v="2"/>
    <s v="Divorced"/>
    <n v="5715"/>
    <n v="22553"/>
    <n v="7"/>
    <s v="Y"/>
    <x v="1"/>
    <n v="12"/>
    <n v="3"/>
    <n v="3"/>
    <n v="80"/>
    <n v="2"/>
    <n v="8"/>
    <n v="5"/>
    <n v="3"/>
    <n v="5"/>
    <n v="4"/>
    <n v="1"/>
    <n v="3"/>
    <x v="1"/>
    <x v="0"/>
    <x v="0"/>
  </r>
  <r>
    <n v="42"/>
    <x v="1"/>
    <s v="Travel_Rarely"/>
    <n v="201"/>
    <x v="1"/>
    <n v="1"/>
    <n v="4"/>
    <s v="Life Sciences"/>
    <n v="1"/>
    <n v="517"/>
    <n v="2"/>
    <s v="Female"/>
    <n v="95"/>
    <n v="3"/>
    <n v="1"/>
    <x v="2"/>
    <n v="1"/>
    <s v="Divorced"/>
    <n v="2576"/>
    <n v="20490"/>
    <n v="3"/>
    <s v="Y"/>
    <x v="1"/>
    <n v="16"/>
    <n v="3"/>
    <n v="2"/>
    <n v="80"/>
    <n v="1"/>
    <n v="8"/>
    <n v="5"/>
    <n v="3"/>
    <n v="5"/>
    <n v="2"/>
    <n v="1"/>
    <n v="2"/>
    <x v="1"/>
    <x v="0"/>
    <x v="1"/>
  </r>
  <r>
    <n v="37"/>
    <x v="1"/>
    <s v="Travel_Rarely"/>
    <n v="1305"/>
    <x v="1"/>
    <n v="10"/>
    <n v="4"/>
    <s v="Life Sciences"/>
    <n v="1"/>
    <n v="518"/>
    <n v="3"/>
    <s v="Male"/>
    <n v="49"/>
    <n v="3"/>
    <n v="2"/>
    <x v="3"/>
    <n v="2"/>
    <s v="Single"/>
    <n v="4197"/>
    <n v="21123"/>
    <n v="2"/>
    <s v="Y"/>
    <x v="0"/>
    <n v="12"/>
    <n v="3"/>
    <n v="4"/>
    <n v="80"/>
    <n v="0"/>
    <n v="18"/>
    <n v="2"/>
    <n v="2"/>
    <n v="1"/>
    <n v="0"/>
    <n v="0"/>
    <n v="1"/>
    <x v="1"/>
    <x v="1"/>
    <x v="0"/>
  </r>
  <r>
    <n v="43"/>
    <x v="1"/>
    <s v="Travel_Rarely"/>
    <n v="982"/>
    <x v="1"/>
    <n v="12"/>
    <n v="3"/>
    <s v="Life Sciences"/>
    <n v="1"/>
    <n v="520"/>
    <n v="1"/>
    <s v="Male"/>
    <n v="59"/>
    <n v="2"/>
    <n v="4"/>
    <x v="7"/>
    <n v="2"/>
    <s v="Divorced"/>
    <n v="14336"/>
    <n v="4345"/>
    <n v="1"/>
    <s v="Y"/>
    <x v="1"/>
    <n v="11"/>
    <n v="3"/>
    <n v="3"/>
    <n v="80"/>
    <n v="1"/>
    <n v="25"/>
    <n v="3"/>
    <n v="3"/>
    <n v="25"/>
    <n v="10"/>
    <n v="3"/>
    <n v="9"/>
    <x v="1"/>
    <x v="0"/>
    <x v="2"/>
  </r>
  <r>
    <n v="40"/>
    <x v="1"/>
    <s v="Travel_Rarely"/>
    <n v="555"/>
    <x v="1"/>
    <n v="2"/>
    <n v="3"/>
    <s v="Medical"/>
    <n v="1"/>
    <n v="521"/>
    <n v="2"/>
    <s v="Female"/>
    <n v="78"/>
    <n v="2"/>
    <n v="2"/>
    <x v="2"/>
    <n v="3"/>
    <s v="Married"/>
    <n v="3448"/>
    <n v="13436"/>
    <n v="6"/>
    <s v="Y"/>
    <x v="1"/>
    <n v="22"/>
    <n v="4"/>
    <n v="2"/>
    <n v="80"/>
    <n v="1"/>
    <n v="20"/>
    <n v="3"/>
    <n v="3"/>
    <n v="1"/>
    <n v="0"/>
    <n v="0"/>
    <n v="0"/>
    <x v="1"/>
    <x v="0"/>
    <x v="0"/>
  </r>
  <r>
    <n v="54"/>
    <x v="1"/>
    <s v="Travel_Rarely"/>
    <n v="821"/>
    <x v="1"/>
    <n v="5"/>
    <n v="2"/>
    <s v="Medical"/>
    <n v="1"/>
    <n v="522"/>
    <n v="1"/>
    <s v="Male"/>
    <n v="86"/>
    <n v="3"/>
    <n v="5"/>
    <x v="7"/>
    <n v="1"/>
    <s v="Married"/>
    <n v="19406"/>
    <n v="8509"/>
    <n v="4"/>
    <s v="Y"/>
    <x v="1"/>
    <n v="11"/>
    <n v="3"/>
    <n v="3"/>
    <n v="80"/>
    <n v="1"/>
    <n v="24"/>
    <n v="4"/>
    <n v="2"/>
    <n v="4"/>
    <n v="2"/>
    <n v="1"/>
    <n v="2"/>
    <x v="1"/>
    <x v="3"/>
    <x v="2"/>
  </r>
  <r>
    <n v="34"/>
    <x v="1"/>
    <s v="Non-Travel"/>
    <n v="1381"/>
    <x v="0"/>
    <n v="4"/>
    <n v="4"/>
    <s v="Marketing"/>
    <n v="1"/>
    <n v="523"/>
    <n v="3"/>
    <s v="Female"/>
    <n v="72"/>
    <n v="3"/>
    <n v="2"/>
    <x v="0"/>
    <n v="3"/>
    <s v="Married"/>
    <n v="6538"/>
    <n v="12740"/>
    <n v="9"/>
    <s v="Y"/>
    <x v="1"/>
    <n v="15"/>
    <n v="3"/>
    <n v="1"/>
    <n v="80"/>
    <n v="1"/>
    <n v="6"/>
    <n v="3"/>
    <n v="3"/>
    <n v="3"/>
    <n v="2"/>
    <n v="1"/>
    <n v="2"/>
    <x v="1"/>
    <x v="1"/>
    <x v="0"/>
  </r>
  <r>
    <n v="31"/>
    <x v="1"/>
    <s v="Travel_Rarely"/>
    <n v="480"/>
    <x v="1"/>
    <n v="7"/>
    <n v="2"/>
    <s v="Medical"/>
    <n v="1"/>
    <n v="524"/>
    <n v="2"/>
    <s v="Female"/>
    <n v="31"/>
    <n v="3"/>
    <n v="2"/>
    <x v="3"/>
    <n v="1"/>
    <s v="Married"/>
    <n v="4306"/>
    <n v="4156"/>
    <n v="1"/>
    <s v="Y"/>
    <x v="1"/>
    <n v="12"/>
    <n v="3"/>
    <n v="2"/>
    <n v="80"/>
    <n v="1"/>
    <n v="13"/>
    <n v="5"/>
    <n v="1"/>
    <n v="13"/>
    <n v="10"/>
    <n v="3"/>
    <n v="12"/>
    <x v="1"/>
    <x v="1"/>
    <x v="0"/>
  </r>
  <r>
    <n v="43"/>
    <x v="1"/>
    <s v="Travel_Frequently"/>
    <n v="313"/>
    <x v="1"/>
    <n v="21"/>
    <n v="3"/>
    <s v="Medical"/>
    <n v="1"/>
    <n v="525"/>
    <n v="4"/>
    <s v="Male"/>
    <n v="61"/>
    <n v="3"/>
    <n v="1"/>
    <x v="2"/>
    <n v="4"/>
    <s v="Married"/>
    <n v="2258"/>
    <n v="15238"/>
    <n v="7"/>
    <s v="Y"/>
    <x v="1"/>
    <n v="20"/>
    <n v="4"/>
    <n v="1"/>
    <n v="80"/>
    <n v="1"/>
    <n v="8"/>
    <n v="1"/>
    <n v="3"/>
    <n v="3"/>
    <n v="2"/>
    <n v="1"/>
    <n v="2"/>
    <x v="1"/>
    <x v="0"/>
    <x v="1"/>
  </r>
  <r>
    <n v="43"/>
    <x v="1"/>
    <s v="Travel_Rarely"/>
    <n v="1473"/>
    <x v="1"/>
    <n v="8"/>
    <n v="4"/>
    <s v="Other"/>
    <n v="1"/>
    <n v="526"/>
    <n v="3"/>
    <s v="Female"/>
    <n v="74"/>
    <n v="3"/>
    <n v="2"/>
    <x v="4"/>
    <n v="3"/>
    <s v="Divorced"/>
    <n v="4522"/>
    <n v="2227"/>
    <n v="4"/>
    <s v="Y"/>
    <x v="0"/>
    <n v="14"/>
    <n v="3"/>
    <n v="4"/>
    <n v="80"/>
    <n v="0"/>
    <n v="8"/>
    <n v="3"/>
    <n v="3"/>
    <n v="5"/>
    <n v="2"/>
    <n v="0"/>
    <n v="2"/>
    <x v="1"/>
    <x v="0"/>
    <x v="0"/>
  </r>
  <r>
    <n v="25"/>
    <x v="1"/>
    <s v="Travel_Rarely"/>
    <n v="891"/>
    <x v="0"/>
    <n v="4"/>
    <n v="2"/>
    <s v="Life Sciences"/>
    <n v="1"/>
    <n v="527"/>
    <n v="2"/>
    <s v="Female"/>
    <n v="99"/>
    <n v="2"/>
    <n v="2"/>
    <x v="0"/>
    <n v="4"/>
    <s v="Single"/>
    <n v="4487"/>
    <n v="12090"/>
    <n v="1"/>
    <s v="Y"/>
    <x v="0"/>
    <n v="11"/>
    <n v="3"/>
    <n v="2"/>
    <n v="80"/>
    <n v="0"/>
    <n v="5"/>
    <n v="3"/>
    <n v="3"/>
    <n v="5"/>
    <n v="4"/>
    <n v="1"/>
    <n v="3"/>
    <x v="1"/>
    <x v="2"/>
    <x v="0"/>
  </r>
  <r>
    <n v="37"/>
    <x v="1"/>
    <s v="Non-Travel"/>
    <n v="1063"/>
    <x v="1"/>
    <n v="25"/>
    <n v="5"/>
    <s v="Medical"/>
    <n v="1"/>
    <n v="529"/>
    <n v="2"/>
    <s v="Female"/>
    <n v="72"/>
    <n v="3"/>
    <n v="2"/>
    <x v="1"/>
    <n v="3"/>
    <s v="Married"/>
    <n v="4449"/>
    <n v="23866"/>
    <n v="3"/>
    <s v="Y"/>
    <x v="0"/>
    <n v="15"/>
    <n v="3"/>
    <n v="1"/>
    <n v="80"/>
    <n v="2"/>
    <n v="15"/>
    <n v="2"/>
    <n v="3"/>
    <n v="13"/>
    <n v="11"/>
    <n v="10"/>
    <n v="7"/>
    <x v="1"/>
    <x v="1"/>
    <x v="0"/>
  </r>
  <r>
    <n v="31"/>
    <x v="1"/>
    <s v="Travel_Rarely"/>
    <n v="329"/>
    <x v="1"/>
    <n v="1"/>
    <n v="2"/>
    <s v="Life Sciences"/>
    <n v="1"/>
    <n v="530"/>
    <n v="4"/>
    <s v="Male"/>
    <n v="98"/>
    <n v="2"/>
    <n v="1"/>
    <x v="2"/>
    <n v="1"/>
    <s v="Married"/>
    <n v="2218"/>
    <n v="16193"/>
    <n v="1"/>
    <s v="Y"/>
    <x v="1"/>
    <n v="12"/>
    <n v="3"/>
    <n v="3"/>
    <n v="80"/>
    <n v="1"/>
    <n v="4"/>
    <n v="3"/>
    <n v="3"/>
    <n v="4"/>
    <n v="2"/>
    <n v="3"/>
    <n v="2"/>
    <x v="1"/>
    <x v="1"/>
    <x v="1"/>
  </r>
  <r>
    <n v="39"/>
    <x v="1"/>
    <s v="Travel_Frequently"/>
    <n v="1218"/>
    <x v="1"/>
    <n v="1"/>
    <n v="1"/>
    <s v="Life Sciences"/>
    <n v="1"/>
    <n v="531"/>
    <n v="2"/>
    <s v="Male"/>
    <n v="52"/>
    <n v="3"/>
    <n v="5"/>
    <x v="5"/>
    <n v="3"/>
    <s v="Divorced"/>
    <n v="19197"/>
    <n v="8213"/>
    <n v="1"/>
    <s v="Y"/>
    <x v="0"/>
    <n v="14"/>
    <n v="3"/>
    <n v="3"/>
    <n v="80"/>
    <n v="1"/>
    <n v="21"/>
    <n v="3"/>
    <n v="3"/>
    <n v="21"/>
    <n v="8"/>
    <n v="1"/>
    <n v="6"/>
    <x v="1"/>
    <x v="1"/>
    <x v="2"/>
  </r>
  <r>
    <n v="56"/>
    <x v="1"/>
    <s v="Travel_Frequently"/>
    <n v="906"/>
    <x v="0"/>
    <n v="6"/>
    <n v="3"/>
    <s v="Life Sciences"/>
    <n v="1"/>
    <n v="532"/>
    <n v="3"/>
    <s v="Female"/>
    <n v="86"/>
    <n v="4"/>
    <n v="4"/>
    <x v="0"/>
    <n v="1"/>
    <s v="Married"/>
    <n v="13212"/>
    <n v="18256"/>
    <n v="9"/>
    <s v="Y"/>
    <x v="1"/>
    <n v="11"/>
    <n v="3"/>
    <n v="4"/>
    <n v="80"/>
    <n v="3"/>
    <n v="36"/>
    <n v="0"/>
    <n v="2"/>
    <n v="7"/>
    <n v="7"/>
    <n v="7"/>
    <n v="7"/>
    <x v="1"/>
    <x v="3"/>
    <x v="2"/>
  </r>
  <r>
    <n v="30"/>
    <x v="1"/>
    <s v="Travel_Rarely"/>
    <n v="1082"/>
    <x v="0"/>
    <n v="12"/>
    <n v="3"/>
    <s v="Technical Degree"/>
    <n v="1"/>
    <n v="533"/>
    <n v="2"/>
    <s v="Female"/>
    <n v="83"/>
    <n v="3"/>
    <n v="2"/>
    <x v="0"/>
    <n v="3"/>
    <s v="Single"/>
    <n v="6577"/>
    <n v="19558"/>
    <n v="0"/>
    <s v="Y"/>
    <x v="1"/>
    <n v="11"/>
    <n v="3"/>
    <n v="2"/>
    <n v="80"/>
    <n v="0"/>
    <n v="6"/>
    <n v="6"/>
    <n v="3"/>
    <n v="5"/>
    <n v="4"/>
    <n v="4"/>
    <n v="4"/>
    <x v="1"/>
    <x v="1"/>
    <x v="0"/>
  </r>
  <r>
    <n v="41"/>
    <x v="1"/>
    <s v="Travel_Rarely"/>
    <n v="645"/>
    <x v="0"/>
    <n v="1"/>
    <n v="3"/>
    <s v="Marketing"/>
    <n v="1"/>
    <n v="534"/>
    <n v="2"/>
    <s v="Male"/>
    <n v="49"/>
    <n v="4"/>
    <n v="3"/>
    <x v="0"/>
    <n v="1"/>
    <s v="Married"/>
    <n v="8392"/>
    <n v="19566"/>
    <n v="1"/>
    <s v="Y"/>
    <x v="1"/>
    <n v="16"/>
    <n v="3"/>
    <n v="3"/>
    <n v="80"/>
    <n v="1"/>
    <n v="10"/>
    <n v="2"/>
    <n v="3"/>
    <n v="10"/>
    <n v="7"/>
    <n v="0"/>
    <n v="7"/>
    <x v="1"/>
    <x v="0"/>
    <x v="2"/>
  </r>
  <r>
    <n v="28"/>
    <x v="1"/>
    <s v="Travel_Rarely"/>
    <n v="1300"/>
    <x v="1"/>
    <n v="17"/>
    <n v="2"/>
    <s v="Medical"/>
    <n v="1"/>
    <n v="536"/>
    <n v="3"/>
    <s v="Male"/>
    <n v="79"/>
    <n v="3"/>
    <n v="2"/>
    <x v="2"/>
    <n v="1"/>
    <s v="Divorced"/>
    <n v="4558"/>
    <n v="13535"/>
    <n v="1"/>
    <s v="Y"/>
    <x v="1"/>
    <n v="12"/>
    <n v="3"/>
    <n v="4"/>
    <n v="80"/>
    <n v="1"/>
    <n v="10"/>
    <n v="2"/>
    <n v="3"/>
    <n v="10"/>
    <n v="0"/>
    <n v="1"/>
    <n v="8"/>
    <x v="1"/>
    <x v="2"/>
    <x v="0"/>
  </r>
  <r>
    <n v="25"/>
    <x v="0"/>
    <s v="Travel_Rarely"/>
    <n v="688"/>
    <x v="1"/>
    <n v="3"/>
    <n v="3"/>
    <s v="Medical"/>
    <n v="1"/>
    <n v="538"/>
    <n v="1"/>
    <s v="Male"/>
    <n v="91"/>
    <n v="3"/>
    <n v="1"/>
    <x v="2"/>
    <n v="1"/>
    <s v="Married"/>
    <n v="4031"/>
    <n v="9396"/>
    <n v="5"/>
    <s v="Y"/>
    <x v="1"/>
    <n v="13"/>
    <n v="3"/>
    <n v="3"/>
    <n v="80"/>
    <n v="1"/>
    <n v="6"/>
    <n v="5"/>
    <n v="3"/>
    <n v="2"/>
    <n v="2"/>
    <n v="0"/>
    <n v="2"/>
    <x v="0"/>
    <x v="2"/>
    <x v="0"/>
  </r>
  <r>
    <n v="52"/>
    <x v="1"/>
    <s v="Travel_Rarely"/>
    <n v="319"/>
    <x v="1"/>
    <n v="3"/>
    <n v="3"/>
    <s v="Medical"/>
    <n v="1"/>
    <n v="543"/>
    <n v="4"/>
    <s v="Male"/>
    <n v="39"/>
    <n v="2"/>
    <n v="3"/>
    <x v="3"/>
    <n v="3"/>
    <s v="Married"/>
    <n v="7969"/>
    <n v="19609"/>
    <n v="2"/>
    <s v="Y"/>
    <x v="0"/>
    <n v="14"/>
    <n v="3"/>
    <n v="3"/>
    <n v="80"/>
    <n v="0"/>
    <n v="28"/>
    <n v="4"/>
    <n v="3"/>
    <n v="5"/>
    <n v="4"/>
    <n v="0"/>
    <n v="4"/>
    <x v="1"/>
    <x v="3"/>
    <x v="2"/>
  </r>
  <r>
    <n v="45"/>
    <x v="1"/>
    <s v="Travel_Rarely"/>
    <n v="192"/>
    <x v="1"/>
    <n v="10"/>
    <n v="2"/>
    <s v="Life Sciences"/>
    <n v="1"/>
    <n v="544"/>
    <n v="1"/>
    <s v="Male"/>
    <n v="69"/>
    <n v="3"/>
    <n v="1"/>
    <x v="1"/>
    <n v="4"/>
    <s v="Married"/>
    <n v="2654"/>
    <n v="9655"/>
    <n v="3"/>
    <s v="Y"/>
    <x v="1"/>
    <n v="21"/>
    <n v="4"/>
    <n v="4"/>
    <n v="80"/>
    <n v="2"/>
    <n v="8"/>
    <n v="3"/>
    <n v="2"/>
    <n v="2"/>
    <n v="2"/>
    <n v="0"/>
    <n v="2"/>
    <x v="1"/>
    <x v="0"/>
    <x v="1"/>
  </r>
  <r>
    <n v="52"/>
    <x v="1"/>
    <s v="Travel_Rarely"/>
    <n v="1490"/>
    <x v="1"/>
    <n v="4"/>
    <n v="2"/>
    <s v="Life Sciences"/>
    <n v="1"/>
    <n v="546"/>
    <n v="4"/>
    <s v="Female"/>
    <n v="30"/>
    <n v="3"/>
    <n v="4"/>
    <x v="5"/>
    <n v="4"/>
    <s v="Married"/>
    <n v="16555"/>
    <n v="10310"/>
    <n v="2"/>
    <s v="Y"/>
    <x v="1"/>
    <n v="13"/>
    <n v="3"/>
    <n v="4"/>
    <n v="80"/>
    <n v="0"/>
    <n v="31"/>
    <n v="2"/>
    <n v="1"/>
    <n v="5"/>
    <n v="2"/>
    <n v="1"/>
    <n v="4"/>
    <x v="1"/>
    <x v="3"/>
    <x v="2"/>
  </r>
  <r>
    <n v="42"/>
    <x v="1"/>
    <s v="Travel_Frequently"/>
    <n v="532"/>
    <x v="1"/>
    <n v="29"/>
    <n v="2"/>
    <s v="Life Sciences"/>
    <n v="1"/>
    <n v="547"/>
    <n v="1"/>
    <s v="Female"/>
    <n v="92"/>
    <n v="3"/>
    <n v="2"/>
    <x v="1"/>
    <n v="3"/>
    <s v="Divorced"/>
    <n v="4556"/>
    <n v="12932"/>
    <n v="2"/>
    <s v="Y"/>
    <x v="1"/>
    <n v="11"/>
    <n v="3"/>
    <n v="2"/>
    <n v="80"/>
    <n v="1"/>
    <n v="19"/>
    <n v="3"/>
    <n v="3"/>
    <n v="5"/>
    <n v="4"/>
    <n v="0"/>
    <n v="2"/>
    <x v="1"/>
    <x v="0"/>
    <x v="0"/>
  </r>
  <r>
    <n v="30"/>
    <x v="1"/>
    <s v="Travel_Rarely"/>
    <n v="317"/>
    <x v="1"/>
    <n v="2"/>
    <n v="3"/>
    <s v="Life Sciences"/>
    <n v="1"/>
    <n v="548"/>
    <n v="3"/>
    <s v="Female"/>
    <n v="43"/>
    <n v="1"/>
    <n v="2"/>
    <x v="3"/>
    <n v="4"/>
    <s v="Single"/>
    <n v="6091"/>
    <n v="24793"/>
    <n v="2"/>
    <s v="Y"/>
    <x v="1"/>
    <n v="20"/>
    <n v="4"/>
    <n v="3"/>
    <n v="80"/>
    <n v="0"/>
    <n v="11"/>
    <n v="2"/>
    <n v="3"/>
    <n v="5"/>
    <n v="4"/>
    <n v="0"/>
    <n v="2"/>
    <x v="1"/>
    <x v="1"/>
    <x v="0"/>
  </r>
  <r>
    <n v="60"/>
    <x v="1"/>
    <s v="Travel_Rarely"/>
    <n v="422"/>
    <x v="1"/>
    <n v="7"/>
    <n v="3"/>
    <s v="Life Sciences"/>
    <n v="1"/>
    <n v="549"/>
    <n v="1"/>
    <s v="Female"/>
    <n v="41"/>
    <n v="3"/>
    <n v="5"/>
    <x v="5"/>
    <n v="1"/>
    <s v="Married"/>
    <n v="19566"/>
    <n v="3854"/>
    <n v="5"/>
    <s v="Y"/>
    <x v="1"/>
    <n v="11"/>
    <n v="3"/>
    <n v="4"/>
    <n v="80"/>
    <n v="0"/>
    <n v="33"/>
    <n v="5"/>
    <n v="1"/>
    <n v="29"/>
    <n v="8"/>
    <n v="11"/>
    <n v="10"/>
    <x v="1"/>
    <x v="3"/>
    <x v="2"/>
  </r>
  <r>
    <n v="46"/>
    <x v="1"/>
    <s v="Travel_Rarely"/>
    <n v="1485"/>
    <x v="1"/>
    <n v="18"/>
    <n v="3"/>
    <s v="Medical"/>
    <n v="1"/>
    <n v="550"/>
    <n v="3"/>
    <s v="Female"/>
    <n v="87"/>
    <n v="3"/>
    <n v="2"/>
    <x v="3"/>
    <n v="3"/>
    <s v="Divorced"/>
    <n v="4810"/>
    <n v="26314"/>
    <n v="2"/>
    <s v="Y"/>
    <x v="1"/>
    <n v="14"/>
    <n v="3"/>
    <n v="3"/>
    <n v="80"/>
    <n v="1"/>
    <n v="19"/>
    <n v="5"/>
    <n v="2"/>
    <n v="10"/>
    <n v="7"/>
    <n v="0"/>
    <n v="8"/>
    <x v="1"/>
    <x v="0"/>
    <x v="0"/>
  </r>
  <r>
    <n v="42"/>
    <x v="1"/>
    <s v="Travel_Frequently"/>
    <n v="1368"/>
    <x v="1"/>
    <n v="28"/>
    <n v="4"/>
    <s v="Technical Degree"/>
    <n v="1"/>
    <n v="551"/>
    <n v="4"/>
    <s v="Female"/>
    <n v="88"/>
    <n v="2"/>
    <n v="2"/>
    <x v="4"/>
    <n v="4"/>
    <s v="Married"/>
    <n v="4523"/>
    <n v="4386"/>
    <n v="0"/>
    <s v="Y"/>
    <x v="1"/>
    <n v="11"/>
    <n v="3"/>
    <n v="4"/>
    <n v="80"/>
    <n v="3"/>
    <n v="7"/>
    <n v="4"/>
    <n v="4"/>
    <n v="6"/>
    <n v="5"/>
    <n v="0"/>
    <n v="4"/>
    <x v="1"/>
    <x v="0"/>
    <x v="0"/>
  </r>
  <r>
    <n v="24"/>
    <x v="0"/>
    <s v="Travel_Rarely"/>
    <n v="1448"/>
    <x v="0"/>
    <n v="1"/>
    <n v="1"/>
    <s v="Technical Degree"/>
    <n v="1"/>
    <n v="554"/>
    <n v="1"/>
    <s v="Female"/>
    <n v="62"/>
    <n v="3"/>
    <n v="1"/>
    <x v="6"/>
    <n v="2"/>
    <s v="Single"/>
    <n v="3202"/>
    <n v="21972"/>
    <n v="1"/>
    <s v="Y"/>
    <x v="0"/>
    <n v="16"/>
    <n v="3"/>
    <n v="2"/>
    <n v="80"/>
    <n v="0"/>
    <n v="6"/>
    <n v="4"/>
    <n v="3"/>
    <n v="5"/>
    <n v="3"/>
    <n v="1"/>
    <n v="4"/>
    <x v="0"/>
    <x v="2"/>
    <x v="0"/>
  </r>
  <r>
    <n v="34"/>
    <x v="0"/>
    <s v="Travel_Frequently"/>
    <n v="296"/>
    <x v="0"/>
    <n v="6"/>
    <n v="2"/>
    <s v="Marketing"/>
    <n v="1"/>
    <n v="555"/>
    <n v="4"/>
    <s v="Female"/>
    <n v="33"/>
    <n v="1"/>
    <n v="1"/>
    <x v="6"/>
    <n v="3"/>
    <s v="Divorced"/>
    <n v="2351"/>
    <n v="12253"/>
    <n v="0"/>
    <s v="Y"/>
    <x v="1"/>
    <n v="16"/>
    <n v="3"/>
    <n v="4"/>
    <n v="80"/>
    <n v="1"/>
    <n v="3"/>
    <n v="3"/>
    <n v="2"/>
    <n v="2"/>
    <n v="2"/>
    <n v="1"/>
    <n v="0"/>
    <x v="0"/>
    <x v="1"/>
    <x v="1"/>
  </r>
  <r>
    <n v="38"/>
    <x v="1"/>
    <s v="Travel_Frequently"/>
    <n v="1490"/>
    <x v="1"/>
    <n v="2"/>
    <n v="2"/>
    <s v="Life Sciences"/>
    <n v="1"/>
    <n v="556"/>
    <n v="4"/>
    <s v="Male"/>
    <n v="42"/>
    <n v="3"/>
    <n v="1"/>
    <x v="2"/>
    <n v="4"/>
    <s v="Married"/>
    <n v="1702"/>
    <n v="12106"/>
    <n v="1"/>
    <s v="Y"/>
    <x v="0"/>
    <n v="23"/>
    <n v="4"/>
    <n v="3"/>
    <n v="80"/>
    <n v="1"/>
    <n v="1"/>
    <n v="3"/>
    <n v="3"/>
    <n v="1"/>
    <n v="0"/>
    <n v="0"/>
    <n v="0"/>
    <x v="1"/>
    <x v="1"/>
    <x v="1"/>
  </r>
  <r>
    <n v="40"/>
    <x v="1"/>
    <s v="Travel_Rarely"/>
    <n v="1398"/>
    <x v="0"/>
    <n v="2"/>
    <n v="4"/>
    <s v="Life Sciences"/>
    <n v="1"/>
    <n v="558"/>
    <n v="3"/>
    <s v="Female"/>
    <n v="79"/>
    <n v="3"/>
    <n v="5"/>
    <x v="5"/>
    <n v="3"/>
    <s v="Married"/>
    <n v="18041"/>
    <n v="13022"/>
    <n v="0"/>
    <s v="Y"/>
    <x v="1"/>
    <n v="14"/>
    <n v="3"/>
    <n v="4"/>
    <n v="80"/>
    <n v="0"/>
    <n v="21"/>
    <n v="2"/>
    <n v="3"/>
    <n v="20"/>
    <n v="15"/>
    <n v="1"/>
    <n v="12"/>
    <x v="1"/>
    <x v="0"/>
    <x v="2"/>
  </r>
  <r>
    <n v="26"/>
    <x v="1"/>
    <s v="Travel_Rarely"/>
    <n v="1349"/>
    <x v="1"/>
    <n v="23"/>
    <n v="3"/>
    <s v="Life Sciences"/>
    <n v="1"/>
    <n v="560"/>
    <n v="1"/>
    <s v="Female"/>
    <n v="90"/>
    <n v="3"/>
    <n v="1"/>
    <x v="1"/>
    <n v="4"/>
    <s v="Divorced"/>
    <n v="2886"/>
    <n v="3032"/>
    <n v="1"/>
    <s v="Y"/>
    <x v="1"/>
    <n v="22"/>
    <n v="4"/>
    <n v="2"/>
    <n v="80"/>
    <n v="2"/>
    <n v="3"/>
    <n v="3"/>
    <n v="1"/>
    <n v="3"/>
    <n v="2"/>
    <n v="0"/>
    <n v="2"/>
    <x v="1"/>
    <x v="2"/>
    <x v="1"/>
  </r>
  <r>
    <n v="30"/>
    <x v="1"/>
    <s v="Non-Travel"/>
    <n v="1400"/>
    <x v="1"/>
    <n v="3"/>
    <n v="3"/>
    <s v="Life Sciences"/>
    <n v="1"/>
    <n v="562"/>
    <n v="3"/>
    <s v="Male"/>
    <n v="53"/>
    <n v="3"/>
    <n v="1"/>
    <x v="2"/>
    <n v="4"/>
    <s v="Married"/>
    <n v="2097"/>
    <n v="16734"/>
    <n v="4"/>
    <s v="Y"/>
    <x v="1"/>
    <n v="15"/>
    <n v="3"/>
    <n v="3"/>
    <n v="80"/>
    <n v="1"/>
    <n v="9"/>
    <n v="3"/>
    <n v="1"/>
    <n v="5"/>
    <n v="3"/>
    <n v="1"/>
    <n v="4"/>
    <x v="1"/>
    <x v="1"/>
    <x v="1"/>
  </r>
  <r>
    <n v="29"/>
    <x v="1"/>
    <s v="Travel_Rarely"/>
    <n v="986"/>
    <x v="1"/>
    <n v="3"/>
    <n v="4"/>
    <s v="Medical"/>
    <n v="1"/>
    <n v="564"/>
    <n v="2"/>
    <s v="Male"/>
    <n v="93"/>
    <n v="2"/>
    <n v="3"/>
    <x v="7"/>
    <n v="3"/>
    <s v="Married"/>
    <n v="11935"/>
    <n v="21526"/>
    <n v="1"/>
    <s v="Y"/>
    <x v="1"/>
    <n v="18"/>
    <n v="3"/>
    <n v="3"/>
    <n v="80"/>
    <n v="0"/>
    <n v="10"/>
    <n v="2"/>
    <n v="3"/>
    <n v="10"/>
    <n v="2"/>
    <n v="0"/>
    <n v="7"/>
    <x v="1"/>
    <x v="2"/>
    <x v="2"/>
  </r>
  <r>
    <n v="29"/>
    <x v="0"/>
    <s v="Travel_Rarely"/>
    <n v="408"/>
    <x v="1"/>
    <n v="25"/>
    <n v="5"/>
    <s v="Technical Degree"/>
    <n v="1"/>
    <n v="565"/>
    <n v="3"/>
    <s v="Female"/>
    <n v="71"/>
    <n v="2"/>
    <n v="1"/>
    <x v="1"/>
    <n v="2"/>
    <s v="Married"/>
    <n v="2546"/>
    <n v="18300"/>
    <n v="5"/>
    <s v="Y"/>
    <x v="1"/>
    <n v="16"/>
    <n v="3"/>
    <n v="2"/>
    <n v="80"/>
    <n v="0"/>
    <n v="6"/>
    <n v="2"/>
    <n v="4"/>
    <n v="2"/>
    <n v="2"/>
    <n v="1"/>
    <n v="1"/>
    <x v="0"/>
    <x v="2"/>
    <x v="1"/>
  </r>
  <r>
    <n v="19"/>
    <x v="0"/>
    <s v="Travel_Rarely"/>
    <n v="489"/>
    <x v="2"/>
    <n v="2"/>
    <n v="2"/>
    <s v="Technical Degree"/>
    <n v="1"/>
    <n v="566"/>
    <n v="1"/>
    <s v="Male"/>
    <n v="52"/>
    <n v="2"/>
    <n v="1"/>
    <x v="8"/>
    <n v="4"/>
    <s v="Single"/>
    <n v="2564"/>
    <n v="18437"/>
    <n v="1"/>
    <s v="Y"/>
    <x v="1"/>
    <n v="12"/>
    <n v="3"/>
    <n v="3"/>
    <n v="80"/>
    <n v="0"/>
    <n v="1"/>
    <n v="3"/>
    <n v="4"/>
    <n v="1"/>
    <n v="0"/>
    <n v="0"/>
    <n v="0"/>
    <x v="0"/>
    <x v="2"/>
    <x v="1"/>
  </r>
  <r>
    <n v="30"/>
    <x v="1"/>
    <s v="Non-Travel"/>
    <n v="1398"/>
    <x v="0"/>
    <n v="22"/>
    <n v="4"/>
    <s v="Other"/>
    <n v="1"/>
    <n v="567"/>
    <n v="3"/>
    <s v="Female"/>
    <n v="69"/>
    <n v="3"/>
    <n v="3"/>
    <x v="0"/>
    <n v="1"/>
    <s v="Married"/>
    <n v="8412"/>
    <n v="2890"/>
    <n v="0"/>
    <s v="Y"/>
    <x v="1"/>
    <n v="11"/>
    <n v="3"/>
    <n v="3"/>
    <n v="80"/>
    <n v="0"/>
    <n v="10"/>
    <n v="3"/>
    <n v="3"/>
    <n v="9"/>
    <n v="8"/>
    <n v="7"/>
    <n v="8"/>
    <x v="1"/>
    <x v="1"/>
    <x v="2"/>
  </r>
  <r>
    <n v="57"/>
    <x v="1"/>
    <s v="Travel_Rarely"/>
    <n v="210"/>
    <x v="0"/>
    <n v="29"/>
    <n v="3"/>
    <s v="Marketing"/>
    <n v="1"/>
    <n v="568"/>
    <n v="1"/>
    <s v="Male"/>
    <n v="56"/>
    <n v="2"/>
    <n v="4"/>
    <x v="5"/>
    <n v="4"/>
    <s v="Divorced"/>
    <n v="14118"/>
    <n v="22102"/>
    <n v="3"/>
    <s v="Y"/>
    <x v="1"/>
    <n v="12"/>
    <n v="3"/>
    <n v="3"/>
    <n v="80"/>
    <n v="1"/>
    <n v="32"/>
    <n v="3"/>
    <n v="2"/>
    <n v="1"/>
    <n v="0"/>
    <n v="0"/>
    <n v="0"/>
    <x v="1"/>
    <x v="3"/>
    <x v="2"/>
  </r>
  <r>
    <n v="50"/>
    <x v="1"/>
    <s v="Travel_Rarely"/>
    <n v="1099"/>
    <x v="1"/>
    <n v="29"/>
    <n v="4"/>
    <s v="Life Sciences"/>
    <n v="1"/>
    <n v="569"/>
    <n v="2"/>
    <s v="Male"/>
    <n v="88"/>
    <n v="2"/>
    <n v="4"/>
    <x v="5"/>
    <n v="3"/>
    <s v="Married"/>
    <n v="17046"/>
    <n v="9314"/>
    <n v="0"/>
    <s v="Y"/>
    <x v="1"/>
    <n v="15"/>
    <n v="3"/>
    <n v="2"/>
    <n v="80"/>
    <n v="1"/>
    <n v="28"/>
    <n v="2"/>
    <n v="3"/>
    <n v="27"/>
    <n v="10"/>
    <n v="15"/>
    <n v="7"/>
    <x v="1"/>
    <x v="3"/>
    <x v="2"/>
  </r>
  <r>
    <n v="30"/>
    <x v="1"/>
    <s v="Non-Travel"/>
    <n v="1116"/>
    <x v="1"/>
    <n v="2"/>
    <n v="3"/>
    <s v="Medical"/>
    <n v="1"/>
    <n v="571"/>
    <n v="3"/>
    <s v="Female"/>
    <n v="49"/>
    <n v="3"/>
    <n v="1"/>
    <x v="2"/>
    <n v="4"/>
    <s v="Single"/>
    <n v="2564"/>
    <n v="7181"/>
    <n v="0"/>
    <s v="Y"/>
    <x v="1"/>
    <n v="14"/>
    <n v="3"/>
    <n v="3"/>
    <n v="80"/>
    <n v="0"/>
    <n v="12"/>
    <n v="2"/>
    <n v="2"/>
    <n v="11"/>
    <n v="7"/>
    <n v="6"/>
    <n v="7"/>
    <x v="1"/>
    <x v="1"/>
    <x v="1"/>
  </r>
  <r>
    <n v="60"/>
    <x v="1"/>
    <s v="Travel_Frequently"/>
    <n v="1499"/>
    <x v="0"/>
    <n v="28"/>
    <n v="3"/>
    <s v="Marketing"/>
    <n v="1"/>
    <n v="573"/>
    <n v="3"/>
    <s v="Female"/>
    <n v="80"/>
    <n v="2"/>
    <n v="3"/>
    <x v="0"/>
    <n v="1"/>
    <s v="Married"/>
    <n v="10266"/>
    <n v="2845"/>
    <n v="4"/>
    <s v="Y"/>
    <x v="1"/>
    <n v="19"/>
    <n v="3"/>
    <n v="4"/>
    <n v="80"/>
    <n v="0"/>
    <n v="22"/>
    <n v="5"/>
    <n v="4"/>
    <n v="18"/>
    <n v="13"/>
    <n v="13"/>
    <n v="11"/>
    <x v="1"/>
    <x v="3"/>
    <x v="2"/>
  </r>
  <r>
    <n v="47"/>
    <x v="1"/>
    <s v="Travel_Rarely"/>
    <n v="983"/>
    <x v="1"/>
    <n v="2"/>
    <n v="2"/>
    <s v="Medical"/>
    <n v="1"/>
    <n v="574"/>
    <n v="1"/>
    <s v="Female"/>
    <n v="65"/>
    <n v="3"/>
    <n v="2"/>
    <x v="3"/>
    <n v="4"/>
    <s v="Divorced"/>
    <n v="5070"/>
    <n v="7389"/>
    <n v="5"/>
    <s v="Y"/>
    <x v="1"/>
    <n v="13"/>
    <n v="3"/>
    <n v="3"/>
    <n v="80"/>
    <n v="3"/>
    <n v="20"/>
    <n v="2"/>
    <n v="3"/>
    <n v="5"/>
    <n v="0"/>
    <n v="0"/>
    <n v="4"/>
    <x v="1"/>
    <x v="0"/>
    <x v="0"/>
  </r>
  <r>
    <n v="46"/>
    <x v="1"/>
    <s v="Travel_Rarely"/>
    <n v="1009"/>
    <x v="1"/>
    <n v="2"/>
    <n v="3"/>
    <s v="Life Sciences"/>
    <n v="1"/>
    <n v="575"/>
    <n v="1"/>
    <s v="Male"/>
    <n v="51"/>
    <n v="3"/>
    <n v="4"/>
    <x v="7"/>
    <n v="3"/>
    <s v="Married"/>
    <n v="17861"/>
    <n v="2288"/>
    <n v="6"/>
    <s v="Y"/>
    <x v="1"/>
    <n v="13"/>
    <n v="3"/>
    <n v="3"/>
    <n v="80"/>
    <n v="0"/>
    <n v="26"/>
    <n v="2"/>
    <n v="1"/>
    <n v="3"/>
    <n v="2"/>
    <n v="0"/>
    <n v="1"/>
    <x v="1"/>
    <x v="0"/>
    <x v="2"/>
  </r>
  <r>
    <n v="35"/>
    <x v="1"/>
    <s v="Travel_Rarely"/>
    <n v="144"/>
    <x v="1"/>
    <n v="22"/>
    <n v="3"/>
    <s v="Life Sciences"/>
    <n v="1"/>
    <n v="577"/>
    <n v="4"/>
    <s v="Male"/>
    <n v="46"/>
    <n v="1"/>
    <n v="1"/>
    <x v="2"/>
    <n v="3"/>
    <s v="Single"/>
    <n v="4230"/>
    <n v="19225"/>
    <n v="0"/>
    <s v="Y"/>
    <x v="1"/>
    <n v="15"/>
    <n v="3"/>
    <n v="3"/>
    <n v="80"/>
    <n v="0"/>
    <n v="6"/>
    <n v="2"/>
    <n v="3"/>
    <n v="5"/>
    <n v="4"/>
    <n v="4"/>
    <n v="3"/>
    <x v="1"/>
    <x v="1"/>
    <x v="0"/>
  </r>
  <r>
    <n v="54"/>
    <x v="1"/>
    <s v="Travel_Rarely"/>
    <n v="548"/>
    <x v="1"/>
    <n v="8"/>
    <n v="4"/>
    <s v="Life Sciences"/>
    <n v="1"/>
    <n v="578"/>
    <n v="3"/>
    <s v="Female"/>
    <n v="42"/>
    <n v="3"/>
    <n v="2"/>
    <x v="2"/>
    <n v="3"/>
    <s v="Single"/>
    <n v="3780"/>
    <n v="23428"/>
    <n v="7"/>
    <s v="Y"/>
    <x v="1"/>
    <n v="11"/>
    <n v="3"/>
    <n v="3"/>
    <n v="80"/>
    <n v="0"/>
    <n v="19"/>
    <n v="3"/>
    <n v="3"/>
    <n v="1"/>
    <n v="0"/>
    <n v="0"/>
    <n v="0"/>
    <x v="1"/>
    <x v="3"/>
    <x v="0"/>
  </r>
  <r>
    <n v="34"/>
    <x v="1"/>
    <s v="Travel_Rarely"/>
    <n v="1303"/>
    <x v="1"/>
    <n v="2"/>
    <n v="4"/>
    <s v="Life Sciences"/>
    <n v="1"/>
    <n v="579"/>
    <n v="4"/>
    <s v="Male"/>
    <n v="62"/>
    <n v="2"/>
    <n v="1"/>
    <x v="1"/>
    <n v="3"/>
    <s v="Divorced"/>
    <n v="2768"/>
    <n v="8416"/>
    <n v="3"/>
    <s v="Y"/>
    <x v="1"/>
    <n v="12"/>
    <n v="3"/>
    <n v="3"/>
    <n v="80"/>
    <n v="1"/>
    <n v="14"/>
    <n v="3"/>
    <n v="3"/>
    <n v="7"/>
    <n v="3"/>
    <n v="5"/>
    <n v="7"/>
    <x v="1"/>
    <x v="1"/>
    <x v="1"/>
  </r>
  <r>
    <n v="46"/>
    <x v="1"/>
    <s v="Travel_Rarely"/>
    <n v="1125"/>
    <x v="0"/>
    <n v="10"/>
    <n v="3"/>
    <s v="Marketing"/>
    <n v="1"/>
    <n v="580"/>
    <n v="3"/>
    <s v="Female"/>
    <n v="94"/>
    <n v="2"/>
    <n v="3"/>
    <x v="0"/>
    <n v="4"/>
    <s v="Married"/>
    <n v="9071"/>
    <n v="11563"/>
    <n v="2"/>
    <s v="Y"/>
    <x v="0"/>
    <n v="19"/>
    <n v="3"/>
    <n v="3"/>
    <n v="80"/>
    <n v="1"/>
    <n v="15"/>
    <n v="3"/>
    <n v="3"/>
    <n v="3"/>
    <n v="2"/>
    <n v="1"/>
    <n v="2"/>
    <x v="1"/>
    <x v="0"/>
    <x v="2"/>
  </r>
  <r>
    <n v="31"/>
    <x v="1"/>
    <s v="Travel_Rarely"/>
    <n v="1274"/>
    <x v="1"/>
    <n v="9"/>
    <n v="1"/>
    <s v="Life Sciences"/>
    <n v="1"/>
    <n v="581"/>
    <n v="3"/>
    <s v="Male"/>
    <n v="33"/>
    <n v="3"/>
    <n v="3"/>
    <x v="3"/>
    <n v="2"/>
    <s v="Divorced"/>
    <n v="10648"/>
    <n v="14394"/>
    <n v="1"/>
    <s v="Y"/>
    <x v="1"/>
    <n v="25"/>
    <n v="4"/>
    <n v="4"/>
    <n v="80"/>
    <n v="1"/>
    <n v="13"/>
    <n v="6"/>
    <n v="4"/>
    <n v="13"/>
    <n v="8"/>
    <n v="0"/>
    <n v="8"/>
    <x v="1"/>
    <x v="1"/>
    <x v="2"/>
  </r>
  <r>
    <n v="33"/>
    <x v="0"/>
    <s v="Travel_Rarely"/>
    <n v="1277"/>
    <x v="1"/>
    <n v="15"/>
    <n v="1"/>
    <s v="Medical"/>
    <n v="1"/>
    <n v="582"/>
    <n v="2"/>
    <s v="Male"/>
    <n v="56"/>
    <n v="3"/>
    <n v="3"/>
    <x v="5"/>
    <n v="3"/>
    <s v="Married"/>
    <n v="13610"/>
    <n v="24619"/>
    <n v="7"/>
    <s v="Y"/>
    <x v="0"/>
    <n v="12"/>
    <n v="3"/>
    <n v="4"/>
    <n v="80"/>
    <n v="0"/>
    <n v="15"/>
    <n v="2"/>
    <n v="4"/>
    <n v="7"/>
    <n v="6"/>
    <n v="7"/>
    <n v="7"/>
    <x v="0"/>
    <x v="1"/>
    <x v="2"/>
  </r>
  <r>
    <n v="33"/>
    <x v="0"/>
    <s v="Travel_Rarely"/>
    <n v="587"/>
    <x v="1"/>
    <n v="10"/>
    <n v="1"/>
    <s v="Medical"/>
    <n v="1"/>
    <n v="584"/>
    <n v="1"/>
    <s v="Male"/>
    <n v="38"/>
    <n v="1"/>
    <n v="1"/>
    <x v="2"/>
    <n v="4"/>
    <s v="Divorced"/>
    <n v="3408"/>
    <n v="6705"/>
    <n v="7"/>
    <s v="Y"/>
    <x v="1"/>
    <n v="13"/>
    <n v="3"/>
    <n v="1"/>
    <n v="80"/>
    <n v="3"/>
    <n v="8"/>
    <n v="2"/>
    <n v="3"/>
    <n v="4"/>
    <n v="3"/>
    <n v="1"/>
    <n v="3"/>
    <x v="0"/>
    <x v="1"/>
    <x v="0"/>
  </r>
  <r>
    <n v="30"/>
    <x v="1"/>
    <s v="Travel_Rarely"/>
    <n v="413"/>
    <x v="0"/>
    <n v="7"/>
    <n v="1"/>
    <s v="Marketing"/>
    <n v="1"/>
    <n v="585"/>
    <n v="4"/>
    <s v="Male"/>
    <n v="57"/>
    <n v="3"/>
    <n v="1"/>
    <x v="6"/>
    <n v="2"/>
    <s v="Single"/>
    <n v="2983"/>
    <n v="18398"/>
    <n v="0"/>
    <s v="Y"/>
    <x v="1"/>
    <n v="14"/>
    <n v="3"/>
    <n v="1"/>
    <n v="80"/>
    <n v="0"/>
    <n v="4"/>
    <n v="3"/>
    <n v="3"/>
    <n v="3"/>
    <n v="2"/>
    <n v="1"/>
    <n v="2"/>
    <x v="1"/>
    <x v="1"/>
    <x v="1"/>
  </r>
  <r>
    <n v="35"/>
    <x v="1"/>
    <s v="Travel_Rarely"/>
    <n v="1276"/>
    <x v="1"/>
    <n v="16"/>
    <n v="3"/>
    <s v="Life Sciences"/>
    <n v="1"/>
    <n v="586"/>
    <n v="4"/>
    <s v="Male"/>
    <n v="72"/>
    <n v="3"/>
    <n v="3"/>
    <x v="4"/>
    <n v="3"/>
    <s v="Married"/>
    <n v="7632"/>
    <n v="14295"/>
    <n v="4"/>
    <s v="Y"/>
    <x v="0"/>
    <n v="12"/>
    <n v="3"/>
    <n v="3"/>
    <n v="80"/>
    <n v="0"/>
    <n v="10"/>
    <n v="2"/>
    <n v="3"/>
    <n v="8"/>
    <n v="7"/>
    <n v="0"/>
    <n v="0"/>
    <x v="1"/>
    <x v="1"/>
    <x v="2"/>
  </r>
  <r>
    <n v="31"/>
    <x v="0"/>
    <s v="Travel_Frequently"/>
    <n v="534"/>
    <x v="1"/>
    <n v="20"/>
    <n v="3"/>
    <s v="Life Sciences"/>
    <n v="1"/>
    <n v="587"/>
    <n v="1"/>
    <s v="Male"/>
    <n v="66"/>
    <n v="3"/>
    <n v="3"/>
    <x v="4"/>
    <n v="3"/>
    <s v="Married"/>
    <n v="9824"/>
    <n v="22908"/>
    <n v="3"/>
    <s v="Y"/>
    <x v="1"/>
    <n v="12"/>
    <n v="3"/>
    <n v="1"/>
    <n v="80"/>
    <n v="0"/>
    <n v="12"/>
    <n v="2"/>
    <n v="3"/>
    <n v="1"/>
    <n v="0"/>
    <n v="0"/>
    <n v="0"/>
    <x v="0"/>
    <x v="1"/>
    <x v="2"/>
  </r>
  <r>
    <n v="34"/>
    <x v="0"/>
    <s v="Travel_Frequently"/>
    <n v="988"/>
    <x v="2"/>
    <n v="23"/>
    <n v="3"/>
    <s v="Human Resources"/>
    <n v="1"/>
    <n v="590"/>
    <n v="2"/>
    <s v="Female"/>
    <n v="43"/>
    <n v="3"/>
    <n v="3"/>
    <x v="8"/>
    <n v="1"/>
    <s v="Divorced"/>
    <n v="9950"/>
    <n v="11533"/>
    <n v="9"/>
    <s v="Y"/>
    <x v="0"/>
    <n v="15"/>
    <n v="3"/>
    <n v="3"/>
    <n v="80"/>
    <n v="3"/>
    <n v="11"/>
    <n v="2"/>
    <n v="3"/>
    <n v="3"/>
    <n v="2"/>
    <n v="0"/>
    <n v="2"/>
    <x v="0"/>
    <x v="1"/>
    <x v="2"/>
  </r>
  <r>
    <n v="42"/>
    <x v="1"/>
    <s v="Travel_Frequently"/>
    <n v="1474"/>
    <x v="1"/>
    <n v="5"/>
    <n v="2"/>
    <s v="Other"/>
    <n v="1"/>
    <n v="591"/>
    <n v="2"/>
    <s v="Male"/>
    <n v="97"/>
    <n v="3"/>
    <n v="1"/>
    <x v="2"/>
    <n v="3"/>
    <s v="Married"/>
    <n v="2093"/>
    <n v="9260"/>
    <n v="4"/>
    <s v="Y"/>
    <x v="1"/>
    <n v="17"/>
    <n v="3"/>
    <n v="4"/>
    <n v="80"/>
    <n v="1"/>
    <n v="8"/>
    <n v="4"/>
    <n v="3"/>
    <n v="2"/>
    <n v="2"/>
    <n v="2"/>
    <n v="0"/>
    <x v="1"/>
    <x v="0"/>
    <x v="1"/>
  </r>
  <r>
    <n v="36"/>
    <x v="1"/>
    <s v="Non-Travel"/>
    <n v="635"/>
    <x v="0"/>
    <n v="10"/>
    <n v="4"/>
    <s v="Medical"/>
    <n v="1"/>
    <n v="592"/>
    <n v="2"/>
    <s v="Male"/>
    <n v="32"/>
    <n v="3"/>
    <n v="3"/>
    <x v="0"/>
    <n v="4"/>
    <s v="Single"/>
    <n v="9980"/>
    <n v="15318"/>
    <n v="1"/>
    <s v="Y"/>
    <x v="1"/>
    <n v="14"/>
    <n v="3"/>
    <n v="4"/>
    <n v="80"/>
    <n v="0"/>
    <n v="10"/>
    <n v="3"/>
    <n v="2"/>
    <n v="10"/>
    <n v="3"/>
    <n v="9"/>
    <n v="7"/>
    <x v="1"/>
    <x v="1"/>
    <x v="2"/>
  </r>
  <r>
    <n v="22"/>
    <x v="0"/>
    <s v="Travel_Frequently"/>
    <n v="1368"/>
    <x v="1"/>
    <n v="4"/>
    <n v="1"/>
    <s v="Technical Degree"/>
    <n v="1"/>
    <n v="593"/>
    <n v="3"/>
    <s v="Male"/>
    <n v="99"/>
    <n v="2"/>
    <n v="1"/>
    <x v="2"/>
    <n v="3"/>
    <s v="Single"/>
    <n v="3894"/>
    <n v="9129"/>
    <n v="5"/>
    <s v="Y"/>
    <x v="1"/>
    <n v="16"/>
    <n v="3"/>
    <n v="3"/>
    <n v="80"/>
    <n v="0"/>
    <n v="4"/>
    <n v="3"/>
    <n v="3"/>
    <n v="2"/>
    <n v="2"/>
    <n v="1"/>
    <n v="2"/>
    <x v="0"/>
    <x v="2"/>
    <x v="0"/>
  </r>
  <r>
    <n v="48"/>
    <x v="1"/>
    <s v="Travel_Rarely"/>
    <n v="163"/>
    <x v="0"/>
    <n v="2"/>
    <n v="5"/>
    <s v="Marketing"/>
    <n v="1"/>
    <n v="595"/>
    <n v="2"/>
    <s v="Female"/>
    <n v="37"/>
    <n v="3"/>
    <n v="2"/>
    <x v="0"/>
    <n v="4"/>
    <s v="Married"/>
    <n v="4051"/>
    <n v="19658"/>
    <n v="2"/>
    <s v="Y"/>
    <x v="1"/>
    <n v="14"/>
    <n v="3"/>
    <n v="1"/>
    <n v="80"/>
    <n v="1"/>
    <n v="14"/>
    <n v="2"/>
    <n v="3"/>
    <n v="9"/>
    <n v="7"/>
    <n v="6"/>
    <n v="7"/>
    <x v="1"/>
    <x v="0"/>
    <x v="0"/>
  </r>
  <r>
    <n v="55"/>
    <x v="1"/>
    <s v="Travel_Rarely"/>
    <n v="1117"/>
    <x v="0"/>
    <n v="18"/>
    <n v="5"/>
    <s v="Life Sciences"/>
    <n v="1"/>
    <n v="597"/>
    <n v="1"/>
    <s v="Female"/>
    <n v="83"/>
    <n v="3"/>
    <n v="4"/>
    <x v="5"/>
    <n v="2"/>
    <s v="Single"/>
    <n v="16835"/>
    <n v="9873"/>
    <n v="3"/>
    <s v="Y"/>
    <x v="1"/>
    <n v="23"/>
    <n v="4"/>
    <n v="4"/>
    <n v="80"/>
    <n v="0"/>
    <n v="37"/>
    <n v="2"/>
    <n v="3"/>
    <n v="10"/>
    <n v="9"/>
    <n v="7"/>
    <n v="7"/>
    <x v="1"/>
    <x v="3"/>
    <x v="2"/>
  </r>
  <r>
    <n v="41"/>
    <x v="1"/>
    <s v="Non-Travel"/>
    <n v="267"/>
    <x v="0"/>
    <n v="10"/>
    <n v="2"/>
    <s v="Life Sciences"/>
    <n v="1"/>
    <n v="599"/>
    <n v="4"/>
    <s v="Male"/>
    <n v="56"/>
    <n v="3"/>
    <n v="2"/>
    <x v="0"/>
    <n v="4"/>
    <s v="Single"/>
    <n v="6230"/>
    <n v="13430"/>
    <n v="7"/>
    <s v="Y"/>
    <x v="1"/>
    <n v="14"/>
    <n v="3"/>
    <n v="4"/>
    <n v="80"/>
    <n v="0"/>
    <n v="16"/>
    <n v="3"/>
    <n v="3"/>
    <n v="14"/>
    <n v="3"/>
    <n v="1"/>
    <n v="10"/>
    <x v="1"/>
    <x v="0"/>
    <x v="0"/>
  </r>
  <r>
    <n v="35"/>
    <x v="1"/>
    <s v="Travel_Rarely"/>
    <n v="619"/>
    <x v="0"/>
    <n v="1"/>
    <n v="3"/>
    <s v="Marketing"/>
    <n v="1"/>
    <n v="600"/>
    <n v="2"/>
    <s v="Male"/>
    <n v="85"/>
    <n v="3"/>
    <n v="2"/>
    <x v="0"/>
    <n v="3"/>
    <s v="Married"/>
    <n v="4717"/>
    <n v="18659"/>
    <n v="9"/>
    <s v="Y"/>
    <x v="1"/>
    <n v="11"/>
    <n v="3"/>
    <n v="3"/>
    <n v="80"/>
    <n v="0"/>
    <n v="15"/>
    <n v="2"/>
    <n v="3"/>
    <n v="11"/>
    <n v="9"/>
    <n v="6"/>
    <n v="9"/>
    <x v="1"/>
    <x v="1"/>
    <x v="0"/>
  </r>
  <r>
    <n v="40"/>
    <x v="1"/>
    <s v="Travel_Rarely"/>
    <n v="302"/>
    <x v="1"/>
    <n v="6"/>
    <n v="3"/>
    <s v="Life Sciences"/>
    <n v="1"/>
    <n v="601"/>
    <n v="2"/>
    <s v="Female"/>
    <n v="75"/>
    <n v="3"/>
    <n v="4"/>
    <x v="3"/>
    <n v="3"/>
    <s v="Single"/>
    <n v="13237"/>
    <n v="20364"/>
    <n v="7"/>
    <s v="Y"/>
    <x v="1"/>
    <n v="15"/>
    <n v="3"/>
    <n v="3"/>
    <n v="80"/>
    <n v="0"/>
    <n v="22"/>
    <n v="3"/>
    <n v="3"/>
    <n v="20"/>
    <n v="6"/>
    <n v="5"/>
    <n v="13"/>
    <x v="1"/>
    <x v="0"/>
    <x v="2"/>
  </r>
  <r>
    <n v="39"/>
    <x v="1"/>
    <s v="Travel_Frequently"/>
    <n v="443"/>
    <x v="1"/>
    <n v="8"/>
    <n v="1"/>
    <s v="Life Sciences"/>
    <n v="1"/>
    <n v="602"/>
    <n v="3"/>
    <s v="Female"/>
    <n v="48"/>
    <n v="3"/>
    <n v="1"/>
    <x v="2"/>
    <n v="3"/>
    <s v="Married"/>
    <n v="3755"/>
    <n v="17872"/>
    <n v="1"/>
    <s v="Y"/>
    <x v="1"/>
    <n v="11"/>
    <n v="3"/>
    <n v="1"/>
    <n v="80"/>
    <n v="1"/>
    <n v="8"/>
    <n v="3"/>
    <n v="3"/>
    <n v="8"/>
    <n v="3"/>
    <n v="0"/>
    <n v="7"/>
    <x v="1"/>
    <x v="1"/>
    <x v="0"/>
  </r>
  <r>
    <n v="31"/>
    <x v="1"/>
    <s v="Travel_Rarely"/>
    <n v="828"/>
    <x v="0"/>
    <n v="2"/>
    <n v="1"/>
    <s v="Life Sciences"/>
    <n v="1"/>
    <n v="604"/>
    <n v="2"/>
    <s v="Male"/>
    <n v="77"/>
    <n v="3"/>
    <n v="2"/>
    <x v="0"/>
    <n v="4"/>
    <s v="Single"/>
    <n v="6582"/>
    <n v="8346"/>
    <n v="4"/>
    <s v="Y"/>
    <x v="0"/>
    <n v="13"/>
    <n v="3"/>
    <n v="3"/>
    <n v="80"/>
    <n v="0"/>
    <n v="10"/>
    <n v="2"/>
    <n v="4"/>
    <n v="6"/>
    <n v="5"/>
    <n v="0"/>
    <n v="5"/>
    <x v="1"/>
    <x v="1"/>
    <x v="0"/>
  </r>
  <r>
    <n v="42"/>
    <x v="1"/>
    <s v="Travel_Rarely"/>
    <n v="319"/>
    <x v="1"/>
    <n v="24"/>
    <n v="3"/>
    <s v="Medical"/>
    <n v="1"/>
    <n v="605"/>
    <n v="4"/>
    <s v="Male"/>
    <n v="56"/>
    <n v="3"/>
    <n v="3"/>
    <x v="3"/>
    <n v="1"/>
    <s v="Married"/>
    <n v="7406"/>
    <n v="6950"/>
    <n v="1"/>
    <s v="Y"/>
    <x v="0"/>
    <n v="21"/>
    <n v="4"/>
    <n v="4"/>
    <n v="80"/>
    <n v="1"/>
    <n v="10"/>
    <n v="5"/>
    <n v="2"/>
    <n v="10"/>
    <n v="9"/>
    <n v="5"/>
    <n v="8"/>
    <x v="1"/>
    <x v="0"/>
    <x v="2"/>
  </r>
  <r>
    <n v="45"/>
    <x v="1"/>
    <s v="Travel_Rarely"/>
    <n v="561"/>
    <x v="0"/>
    <n v="2"/>
    <n v="3"/>
    <s v="Other"/>
    <n v="1"/>
    <n v="606"/>
    <n v="4"/>
    <s v="Male"/>
    <n v="61"/>
    <n v="3"/>
    <n v="2"/>
    <x v="0"/>
    <n v="2"/>
    <s v="Married"/>
    <n v="4805"/>
    <n v="16177"/>
    <n v="0"/>
    <s v="Y"/>
    <x v="1"/>
    <n v="19"/>
    <n v="3"/>
    <n v="2"/>
    <n v="80"/>
    <n v="1"/>
    <n v="9"/>
    <n v="3"/>
    <n v="4"/>
    <n v="8"/>
    <n v="7"/>
    <n v="3"/>
    <n v="7"/>
    <x v="1"/>
    <x v="0"/>
    <x v="0"/>
  </r>
  <r>
    <n v="26"/>
    <x v="0"/>
    <s v="Travel_Frequently"/>
    <n v="426"/>
    <x v="2"/>
    <n v="17"/>
    <n v="4"/>
    <s v="Life Sciences"/>
    <n v="1"/>
    <n v="608"/>
    <n v="2"/>
    <s v="Female"/>
    <n v="58"/>
    <n v="3"/>
    <n v="1"/>
    <x v="8"/>
    <n v="3"/>
    <s v="Divorced"/>
    <n v="2741"/>
    <n v="22808"/>
    <n v="0"/>
    <s v="Y"/>
    <x v="0"/>
    <n v="11"/>
    <n v="3"/>
    <n v="2"/>
    <n v="80"/>
    <n v="1"/>
    <n v="8"/>
    <n v="2"/>
    <n v="2"/>
    <n v="7"/>
    <n v="7"/>
    <n v="1"/>
    <n v="0"/>
    <x v="0"/>
    <x v="2"/>
    <x v="1"/>
  </r>
  <r>
    <n v="29"/>
    <x v="1"/>
    <s v="Travel_Rarely"/>
    <n v="232"/>
    <x v="1"/>
    <n v="19"/>
    <n v="3"/>
    <s v="Technical Degree"/>
    <n v="1"/>
    <n v="611"/>
    <n v="4"/>
    <s v="Male"/>
    <n v="34"/>
    <n v="3"/>
    <n v="2"/>
    <x v="3"/>
    <n v="4"/>
    <s v="Divorced"/>
    <n v="4262"/>
    <n v="22645"/>
    <n v="4"/>
    <s v="Y"/>
    <x v="1"/>
    <n v="12"/>
    <n v="3"/>
    <n v="2"/>
    <n v="80"/>
    <n v="2"/>
    <n v="8"/>
    <n v="2"/>
    <n v="4"/>
    <n v="3"/>
    <n v="2"/>
    <n v="1"/>
    <n v="2"/>
    <x v="1"/>
    <x v="2"/>
    <x v="0"/>
  </r>
  <r>
    <n v="33"/>
    <x v="1"/>
    <s v="Travel_Rarely"/>
    <n v="922"/>
    <x v="1"/>
    <n v="1"/>
    <n v="5"/>
    <s v="Medical"/>
    <n v="1"/>
    <n v="612"/>
    <n v="1"/>
    <s v="Female"/>
    <n v="95"/>
    <n v="4"/>
    <n v="4"/>
    <x v="7"/>
    <n v="3"/>
    <s v="Divorced"/>
    <n v="16184"/>
    <n v="22578"/>
    <n v="4"/>
    <s v="Y"/>
    <x v="1"/>
    <n v="19"/>
    <n v="3"/>
    <n v="3"/>
    <n v="80"/>
    <n v="1"/>
    <n v="10"/>
    <n v="2"/>
    <n v="3"/>
    <n v="6"/>
    <n v="1"/>
    <n v="0"/>
    <n v="5"/>
    <x v="1"/>
    <x v="1"/>
    <x v="2"/>
  </r>
  <r>
    <n v="31"/>
    <x v="1"/>
    <s v="Travel_Rarely"/>
    <n v="688"/>
    <x v="0"/>
    <n v="7"/>
    <n v="3"/>
    <s v="Life Sciences"/>
    <n v="1"/>
    <n v="613"/>
    <n v="3"/>
    <s v="Male"/>
    <n v="44"/>
    <n v="2"/>
    <n v="3"/>
    <x v="5"/>
    <n v="4"/>
    <s v="Divorced"/>
    <n v="11557"/>
    <n v="25291"/>
    <n v="9"/>
    <s v="Y"/>
    <x v="1"/>
    <n v="21"/>
    <n v="4"/>
    <n v="3"/>
    <n v="80"/>
    <n v="1"/>
    <n v="10"/>
    <n v="3"/>
    <n v="2"/>
    <n v="5"/>
    <n v="4"/>
    <n v="0"/>
    <n v="1"/>
    <x v="1"/>
    <x v="1"/>
    <x v="2"/>
  </r>
  <r>
    <n v="18"/>
    <x v="0"/>
    <s v="Travel_Frequently"/>
    <n v="1306"/>
    <x v="0"/>
    <n v="5"/>
    <n v="3"/>
    <s v="Marketing"/>
    <n v="1"/>
    <n v="614"/>
    <n v="2"/>
    <s v="Male"/>
    <n v="69"/>
    <n v="3"/>
    <n v="1"/>
    <x v="6"/>
    <n v="2"/>
    <s v="Single"/>
    <n v="1878"/>
    <n v="8059"/>
    <n v="1"/>
    <s v="Y"/>
    <x v="0"/>
    <n v="14"/>
    <n v="3"/>
    <n v="4"/>
    <n v="80"/>
    <n v="0"/>
    <n v="0"/>
    <n v="3"/>
    <n v="3"/>
    <n v="0"/>
    <n v="0"/>
    <n v="0"/>
    <n v="0"/>
    <x v="0"/>
    <x v="2"/>
    <x v="1"/>
  </r>
  <r>
    <n v="40"/>
    <x v="1"/>
    <s v="Non-Travel"/>
    <n v="1094"/>
    <x v="0"/>
    <n v="28"/>
    <n v="3"/>
    <s v="Other"/>
    <n v="1"/>
    <n v="615"/>
    <n v="3"/>
    <s v="Male"/>
    <n v="58"/>
    <n v="1"/>
    <n v="3"/>
    <x v="0"/>
    <n v="1"/>
    <s v="Divorced"/>
    <n v="10932"/>
    <n v="11373"/>
    <n v="3"/>
    <s v="Y"/>
    <x v="1"/>
    <n v="15"/>
    <n v="3"/>
    <n v="3"/>
    <n v="80"/>
    <n v="1"/>
    <n v="20"/>
    <n v="2"/>
    <n v="3"/>
    <n v="1"/>
    <n v="0"/>
    <n v="0"/>
    <n v="1"/>
    <x v="1"/>
    <x v="0"/>
    <x v="2"/>
  </r>
  <r>
    <n v="41"/>
    <x v="1"/>
    <s v="Non-Travel"/>
    <n v="509"/>
    <x v="1"/>
    <n v="2"/>
    <n v="4"/>
    <s v="Other"/>
    <n v="1"/>
    <n v="616"/>
    <n v="1"/>
    <s v="Female"/>
    <n v="62"/>
    <n v="2"/>
    <n v="2"/>
    <x v="4"/>
    <n v="3"/>
    <s v="Single"/>
    <n v="6811"/>
    <n v="2112"/>
    <n v="2"/>
    <s v="Y"/>
    <x v="0"/>
    <n v="17"/>
    <n v="3"/>
    <n v="1"/>
    <n v="80"/>
    <n v="0"/>
    <n v="10"/>
    <n v="3"/>
    <n v="3"/>
    <n v="8"/>
    <n v="7"/>
    <n v="0"/>
    <n v="7"/>
    <x v="1"/>
    <x v="0"/>
    <x v="0"/>
  </r>
  <r>
    <n v="26"/>
    <x v="1"/>
    <s v="Travel_Rarely"/>
    <n v="775"/>
    <x v="0"/>
    <n v="29"/>
    <n v="2"/>
    <s v="Medical"/>
    <n v="1"/>
    <n v="618"/>
    <n v="1"/>
    <s v="Male"/>
    <n v="45"/>
    <n v="3"/>
    <n v="2"/>
    <x v="0"/>
    <n v="3"/>
    <s v="Divorced"/>
    <n v="4306"/>
    <n v="4267"/>
    <n v="5"/>
    <s v="Y"/>
    <x v="1"/>
    <n v="12"/>
    <n v="3"/>
    <n v="1"/>
    <n v="80"/>
    <n v="2"/>
    <n v="8"/>
    <n v="5"/>
    <n v="3"/>
    <n v="0"/>
    <n v="0"/>
    <n v="0"/>
    <n v="0"/>
    <x v="1"/>
    <x v="2"/>
    <x v="0"/>
  </r>
  <r>
    <n v="35"/>
    <x v="1"/>
    <s v="Travel_Rarely"/>
    <n v="195"/>
    <x v="0"/>
    <n v="1"/>
    <n v="3"/>
    <s v="Medical"/>
    <n v="1"/>
    <n v="620"/>
    <n v="1"/>
    <s v="Female"/>
    <n v="80"/>
    <n v="3"/>
    <n v="2"/>
    <x v="0"/>
    <n v="3"/>
    <s v="Single"/>
    <n v="4859"/>
    <n v="6698"/>
    <n v="1"/>
    <s v="Y"/>
    <x v="1"/>
    <n v="16"/>
    <n v="3"/>
    <n v="4"/>
    <n v="80"/>
    <n v="0"/>
    <n v="5"/>
    <n v="3"/>
    <n v="3"/>
    <n v="5"/>
    <n v="4"/>
    <n v="0"/>
    <n v="3"/>
    <x v="1"/>
    <x v="1"/>
    <x v="0"/>
  </r>
  <r>
    <n v="34"/>
    <x v="1"/>
    <s v="Travel_Rarely"/>
    <n v="258"/>
    <x v="0"/>
    <n v="21"/>
    <n v="4"/>
    <s v="Life Sciences"/>
    <n v="1"/>
    <n v="621"/>
    <n v="4"/>
    <s v="Male"/>
    <n v="74"/>
    <n v="4"/>
    <n v="2"/>
    <x v="0"/>
    <n v="4"/>
    <s v="Single"/>
    <n v="5337"/>
    <n v="19921"/>
    <n v="1"/>
    <s v="Y"/>
    <x v="1"/>
    <n v="12"/>
    <n v="3"/>
    <n v="4"/>
    <n v="80"/>
    <n v="0"/>
    <n v="10"/>
    <n v="3"/>
    <n v="3"/>
    <n v="10"/>
    <n v="7"/>
    <n v="5"/>
    <n v="7"/>
    <x v="1"/>
    <x v="1"/>
    <x v="0"/>
  </r>
  <r>
    <n v="26"/>
    <x v="0"/>
    <s v="Travel_Rarely"/>
    <n v="471"/>
    <x v="1"/>
    <n v="24"/>
    <n v="3"/>
    <s v="Technical Degree"/>
    <n v="1"/>
    <n v="622"/>
    <n v="3"/>
    <s v="Male"/>
    <n v="66"/>
    <n v="1"/>
    <n v="1"/>
    <x v="2"/>
    <n v="4"/>
    <s v="Single"/>
    <n v="2340"/>
    <n v="23213"/>
    <n v="1"/>
    <s v="Y"/>
    <x v="0"/>
    <n v="18"/>
    <n v="3"/>
    <n v="2"/>
    <n v="80"/>
    <n v="0"/>
    <n v="1"/>
    <n v="3"/>
    <n v="1"/>
    <n v="1"/>
    <n v="0"/>
    <n v="0"/>
    <n v="0"/>
    <x v="0"/>
    <x v="2"/>
    <x v="1"/>
  </r>
  <r>
    <n v="37"/>
    <x v="1"/>
    <s v="Travel_Rarely"/>
    <n v="799"/>
    <x v="1"/>
    <n v="1"/>
    <n v="3"/>
    <s v="Technical Degree"/>
    <n v="1"/>
    <n v="623"/>
    <n v="2"/>
    <s v="Female"/>
    <n v="59"/>
    <n v="3"/>
    <n v="3"/>
    <x v="3"/>
    <n v="4"/>
    <s v="Single"/>
    <n v="7491"/>
    <n v="23848"/>
    <n v="4"/>
    <s v="Y"/>
    <x v="1"/>
    <n v="17"/>
    <n v="3"/>
    <n v="4"/>
    <n v="80"/>
    <n v="0"/>
    <n v="12"/>
    <n v="3"/>
    <n v="4"/>
    <n v="6"/>
    <n v="5"/>
    <n v="1"/>
    <n v="2"/>
    <x v="1"/>
    <x v="1"/>
    <x v="2"/>
  </r>
  <r>
    <n v="46"/>
    <x v="1"/>
    <s v="Travel_Frequently"/>
    <n v="1034"/>
    <x v="1"/>
    <n v="18"/>
    <n v="1"/>
    <s v="Medical"/>
    <n v="1"/>
    <n v="624"/>
    <n v="1"/>
    <s v="Female"/>
    <n v="86"/>
    <n v="3"/>
    <n v="3"/>
    <x v="4"/>
    <n v="3"/>
    <s v="Married"/>
    <n v="10527"/>
    <n v="8984"/>
    <n v="5"/>
    <s v="Y"/>
    <x v="1"/>
    <n v="11"/>
    <n v="3"/>
    <n v="4"/>
    <n v="80"/>
    <n v="0"/>
    <n v="28"/>
    <n v="3"/>
    <n v="2"/>
    <n v="2"/>
    <n v="2"/>
    <n v="1"/>
    <n v="2"/>
    <x v="1"/>
    <x v="0"/>
    <x v="2"/>
  </r>
  <r>
    <n v="41"/>
    <x v="1"/>
    <s v="Travel_Rarely"/>
    <n v="1276"/>
    <x v="0"/>
    <n v="2"/>
    <n v="5"/>
    <s v="Life Sciences"/>
    <n v="1"/>
    <n v="625"/>
    <n v="2"/>
    <s v="Female"/>
    <n v="91"/>
    <n v="3"/>
    <n v="4"/>
    <x v="5"/>
    <n v="1"/>
    <s v="Married"/>
    <n v="16595"/>
    <n v="5626"/>
    <n v="7"/>
    <s v="Y"/>
    <x v="1"/>
    <n v="16"/>
    <n v="3"/>
    <n v="2"/>
    <n v="80"/>
    <n v="1"/>
    <n v="22"/>
    <n v="2"/>
    <n v="3"/>
    <n v="18"/>
    <n v="16"/>
    <n v="11"/>
    <n v="8"/>
    <x v="1"/>
    <x v="0"/>
    <x v="2"/>
  </r>
  <r>
    <n v="37"/>
    <x v="1"/>
    <s v="Non-Travel"/>
    <n v="142"/>
    <x v="0"/>
    <n v="9"/>
    <n v="4"/>
    <s v="Medical"/>
    <n v="1"/>
    <n v="626"/>
    <n v="1"/>
    <s v="Male"/>
    <n v="69"/>
    <n v="3"/>
    <n v="3"/>
    <x v="0"/>
    <n v="2"/>
    <s v="Divorced"/>
    <n v="8834"/>
    <n v="24666"/>
    <n v="1"/>
    <s v="Y"/>
    <x v="1"/>
    <n v="13"/>
    <n v="3"/>
    <n v="4"/>
    <n v="80"/>
    <n v="1"/>
    <n v="9"/>
    <n v="6"/>
    <n v="3"/>
    <n v="9"/>
    <n v="5"/>
    <n v="7"/>
    <n v="7"/>
    <x v="1"/>
    <x v="1"/>
    <x v="2"/>
  </r>
  <r>
    <n v="52"/>
    <x v="1"/>
    <s v="Travel_Rarely"/>
    <n v="956"/>
    <x v="1"/>
    <n v="6"/>
    <n v="2"/>
    <s v="Technical Degree"/>
    <n v="1"/>
    <n v="630"/>
    <n v="4"/>
    <s v="Male"/>
    <n v="78"/>
    <n v="3"/>
    <n v="2"/>
    <x v="1"/>
    <n v="1"/>
    <s v="Divorced"/>
    <n v="5577"/>
    <n v="22087"/>
    <n v="3"/>
    <s v="Y"/>
    <x v="0"/>
    <n v="12"/>
    <n v="3"/>
    <n v="2"/>
    <n v="80"/>
    <n v="2"/>
    <n v="18"/>
    <n v="3"/>
    <n v="3"/>
    <n v="10"/>
    <n v="9"/>
    <n v="6"/>
    <n v="9"/>
    <x v="1"/>
    <x v="3"/>
    <x v="0"/>
  </r>
  <r>
    <n v="32"/>
    <x v="0"/>
    <s v="Non-Travel"/>
    <n v="1474"/>
    <x v="0"/>
    <n v="11"/>
    <n v="4"/>
    <s v="Other"/>
    <n v="1"/>
    <n v="631"/>
    <n v="4"/>
    <s v="Male"/>
    <n v="60"/>
    <n v="4"/>
    <n v="2"/>
    <x v="0"/>
    <n v="3"/>
    <s v="Married"/>
    <n v="4707"/>
    <n v="23914"/>
    <n v="8"/>
    <s v="Y"/>
    <x v="1"/>
    <n v="12"/>
    <n v="3"/>
    <n v="4"/>
    <n v="80"/>
    <n v="0"/>
    <n v="6"/>
    <n v="2"/>
    <n v="3"/>
    <n v="4"/>
    <n v="2"/>
    <n v="1"/>
    <n v="2"/>
    <x v="0"/>
    <x v="1"/>
    <x v="0"/>
  </r>
  <r>
    <n v="24"/>
    <x v="1"/>
    <s v="Travel_Frequently"/>
    <n v="535"/>
    <x v="0"/>
    <n v="24"/>
    <n v="3"/>
    <s v="Medical"/>
    <n v="1"/>
    <n v="632"/>
    <n v="4"/>
    <s v="Male"/>
    <n v="38"/>
    <n v="3"/>
    <n v="1"/>
    <x v="6"/>
    <n v="4"/>
    <s v="Married"/>
    <n v="2400"/>
    <n v="5530"/>
    <n v="0"/>
    <s v="Y"/>
    <x v="1"/>
    <n v="13"/>
    <n v="3"/>
    <n v="3"/>
    <n v="80"/>
    <n v="2"/>
    <n v="3"/>
    <n v="3"/>
    <n v="3"/>
    <n v="2"/>
    <n v="2"/>
    <n v="2"/>
    <n v="1"/>
    <x v="1"/>
    <x v="2"/>
    <x v="1"/>
  </r>
  <r>
    <n v="38"/>
    <x v="1"/>
    <s v="Travel_Rarely"/>
    <n v="1495"/>
    <x v="1"/>
    <n v="10"/>
    <n v="3"/>
    <s v="Medical"/>
    <n v="1"/>
    <n v="634"/>
    <n v="3"/>
    <s v="Female"/>
    <n v="76"/>
    <n v="3"/>
    <n v="2"/>
    <x v="4"/>
    <n v="3"/>
    <s v="Married"/>
    <n v="9824"/>
    <n v="22174"/>
    <n v="3"/>
    <s v="Y"/>
    <x v="1"/>
    <n v="19"/>
    <n v="3"/>
    <n v="3"/>
    <n v="80"/>
    <n v="1"/>
    <n v="18"/>
    <n v="4"/>
    <n v="3"/>
    <n v="1"/>
    <n v="0"/>
    <n v="0"/>
    <n v="0"/>
    <x v="1"/>
    <x v="1"/>
    <x v="2"/>
  </r>
  <r>
    <n v="37"/>
    <x v="1"/>
    <s v="Travel_Rarely"/>
    <n v="446"/>
    <x v="1"/>
    <n v="1"/>
    <n v="4"/>
    <s v="Life Sciences"/>
    <n v="1"/>
    <n v="635"/>
    <n v="2"/>
    <s v="Female"/>
    <n v="65"/>
    <n v="3"/>
    <n v="2"/>
    <x v="3"/>
    <n v="2"/>
    <s v="Married"/>
    <n v="6447"/>
    <n v="15701"/>
    <n v="6"/>
    <s v="Y"/>
    <x v="1"/>
    <n v="12"/>
    <n v="3"/>
    <n v="2"/>
    <n v="80"/>
    <n v="1"/>
    <n v="8"/>
    <n v="2"/>
    <n v="2"/>
    <n v="6"/>
    <n v="5"/>
    <n v="4"/>
    <n v="3"/>
    <x v="1"/>
    <x v="1"/>
    <x v="0"/>
  </r>
  <r>
    <n v="49"/>
    <x v="1"/>
    <s v="Travel_Rarely"/>
    <n v="1245"/>
    <x v="1"/>
    <n v="18"/>
    <n v="4"/>
    <s v="Life Sciences"/>
    <n v="1"/>
    <n v="638"/>
    <n v="4"/>
    <s v="Male"/>
    <n v="58"/>
    <n v="2"/>
    <n v="5"/>
    <x v="7"/>
    <n v="3"/>
    <s v="Divorced"/>
    <n v="19502"/>
    <n v="2125"/>
    <n v="1"/>
    <s v="Y"/>
    <x v="0"/>
    <n v="17"/>
    <n v="3"/>
    <n v="3"/>
    <n v="80"/>
    <n v="1"/>
    <n v="31"/>
    <n v="5"/>
    <n v="3"/>
    <n v="31"/>
    <n v="9"/>
    <n v="0"/>
    <n v="9"/>
    <x v="1"/>
    <x v="0"/>
    <x v="2"/>
  </r>
  <r>
    <n v="24"/>
    <x v="1"/>
    <s v="Travel_Rarely"/>
    <n v="691"/>
    <x v="1"/>
    <n v="23"/>
    <n v="3"/>
    <s v="Medical"/>
    <n v="1"/>
    <n v="639"/>
    <n v="2"/>
    <s v="Male"/>
    <n v="89"/>
    <n v="4"/>
    <n v="1"/>
    <x v="1"/>
    <n v="4"/>
    <s v="Married"/>
    <n v="2725"/>
    <n v="21630"/>
    <n v="1"/>
    <s v="Y"/>
    <x v="0"/>
    <n v="11"/>
    <n v="3"/>
    <n v="2"/>
    <n v="80"/>
    <n v="2"/>
    <n v="6"/>
    <n v="3"/>
    <n v="3"/>
    <n v="6"/>
    <n v="5"/>
    <n v="1"/>
    <n v="4"/>
    <x v="1"/>
    <x v="2"/>
    <x v="1"/>
  </r>
  <r>
    <n v="26"/>
    <x v="1"/>
    <s v="Travel_Rarely"/>
    <n v="703"/>
    <x v="0"/>
    <n v="28"/>
    <n v="2"/>
    <s v="Marketing"/>
    <n v="1"/>
    <n v="641"/>
    <n v="1"/>
    <s v="Male"/>
    <n v="66"/>
    <n v="3"/>
    <n v="2"/>
    <x v="0"/>
    <n v="2"/>
    <s v="Married"/>
    <n v="6272"/>
    <n v="7428"/>
    <n v="1"/>
    <s v="Y"/>
    <x v="1"/>
    <n v="20"/>
    <n v="4"/>
    <n v="4"/>
    <n v="80"/>
    <n v="2"/>
    <n v="6"/>
    <n v="5"/>
    <n v="4"/>
    <n v="5"/>
    <n v="3"/>
    <n v="1"/>
    <n v="4"/>
    <x v="1"/>
    <x v="2"/>
    <x v="0"/>
  </r>
  <r>
    <n v="24"/>
    <x v="1"/>
    <s v="Travel_Rarely"/>
    <n v="823"/>
    <x v="1"/>
    <n v="17"/>
    <n v="2"/>
    <s v="Other"/>
    <n v="1"/>
    <n v="643"/>
    <n v="4"/>
    <s v="Male"/>
    <n v="94"/>
    <n v="2"/>
    <n v="1"/>
    <x v="2"/>
    <n v="2"/>
    <s v="Married"/>
    <n v="2127"/>
    <n v="9100"/>
    <n v="1"/>
    <s v="Y"/>
    <x v="1"/>
    <n v="21"/>
    <n v="4"/>
    <n v="4"/>
    <n v="80"/>
    <n v="1"/>
    <n v="1"/>
    <n v="2"/>
    <n v="3"/>
    <n v="1"/>
    <n v="0"/>
    <n v="0"/>
    <n v="0"/>
    <x v="1"/>
    <x v="2"/>
    <x v="1"/>
  </r>
  <r>
    <n v="50"/>
    <x v="1"/>
    <s v="Travel_Frequently"/>
    <n v="1246"/>
    <x v="2"/>
    <n v="3"/>
    <n v="3"/>
    <s v="Medical"/>
    <n v="1"/>
    <n v="644"/>
    <n v="1"/>
    <s v="Male"/>
    <n v="99"/>
    <n v="3"/>
    <n v="5"/>
    <x v="5"/>
    <n v="2"/>
    <s v="Married"/>
    <n v="18200"/>
    <n v="7999"/>
    <n v="1"/>
    <s v="Y"/>
    <x v="1"/>
    <n v="11"/>
    <n v="3"/>
    <n v="3"/>
    <n v="80"/>
    <n v="1"/>
    <n v="32"/>
    <n v="2"/>
    <n v="3"/>
    <n v="32"/>
    <n v="5"/>
    <n v="10"/>
    <n v="7"/>
    <x v="1"/>
    <x v="3"/>
    <x v="2"/>
  </r>
  <r>
    <n v="25"/>
    <x v="1"/>
    <s v="Travel_Rarely"/>
    <n v="622"/>
    <x v="0"/>
    <n v="13"/>
    <n v="1"/>
    <s v="Medical"/>
    <n v="1"/>
    <n v="645"/>
    <n v="2"/>
    <s v="Male"/>
    <n v="40"/>
    <n v="3"/>
    <n v="1"/>
    <x v="6"/>
    <n v="3"/>
    <s v="Married"/>
    <n v="2096"/>
    <n v="26376"/>
    <n v="1"/>
    <s v="Y"/>
    <x v="1"/>
    <n v="11"/>
    <n v="3"/>
    <n v="3"/>
    <n v="80"/>
    <n v="0"/>
    <n v="7"/>
    <n v="1"/>
    <n v="3"/>
    <n v="7"/>
    <n v="4"/>
    <n v="0"/>
    <n v="6"/>
    <x v="1"/>
    <x v="2"/>
    <x v="1"/>
  </r>
  <r>
    <n v="24"/>
    <x v="0"/>
    <s v="Travel_Frequently"/>
    <n v="1287"/>
    <x v="1"/>
    <n v="7"/>
    <n v="3"/>
    <s v="Life Sciences"/>
    <n v="1"/>
    <n v="647"/>
    <n v="1"/>
    <s v="Female"/>
    <n v="55"/>
    <n v="3"/>
    <n v="1"/>
    <x v="2"/>
    <n v="3"/>
    <s v="Married"/>
    <n v="2886"/>
    <n v="14168"/>
    <n v="1"/>
    <s v="Y"/>
    <x v="0"/>
    <n v="16"/>
    <n v="3"/>
    <n v="4"/>
    <n v="80"/>
    <n v="1"/>
    <n v="6"/>
    <n v="4"/>
    <n v="3"/>
    <n v="6"/>
    <n v="3"/>
    <n v="1"/>
    <n v="2"/>
    <x v="0"/>
    <x v="2"/>
    <x v="1"/>
  </r>
  <r>
    <n v="30"/>
    <x v="0"/>
    <s v="Travel_Frequently"/>
    <n v="448"/>
    <x v="0"/>
    <n v="12"/>
    <n v="4"/>
    <s v="Life Sciences"/>
    <n v="1"/>
    <n v="648"/>
    <n v="2"/>
    <s v="Male"/>
    <n v="74"/>
    <n v="2"/>
    <n v="1"/>
    <x v="6"/>
    <n v="1"/>
    <s v="Married"/>
    <n v="2033"/>
    <n v="14470"/>
    <n v="1"/>
    <s v="Y"/>
    <x v="1"/>
    <n v="18"/>
    <n v="3"/>
    <n v="3"/>
    <n v="80"/>
    <n v="1"/>
    <n v="1"/>
    <n v="2"/>
    <n v="4"/>
    <n v="1"/>
    <n v="0"/>
    <n v="0"/>
    <n v="0"/>
    <x v="0"/>
    <x v="1"/>
    <x v="1"/>
  </r>
  <r>
    <n v="34"/>
    <x v="1"/>
    <s v="Travel_Rarely"/>
    <n v="254"/>
    <x v="1"/>
    <n v="1"/>
    <n v="2"/>
    <s v="Life Sciences"/>
    <n v="1"/>
    <n v="649"/>
    <n v="2"/>
    <s v="Male"/>
    <n v="83"/>
    <n v="2"/>
    <n v="1"/>
    <x v="1"/>
    <n v="4"/>
    <s v="Married"/>
    <n v="3622"/>
    <n v="22794"/>
    <n v="1"/>
    <s v="Y"/>
    <x v="0"/>
    <n v="13"/>
    <n v="3"/>
    <n v="4"/>
    <n v="80"/>
    <n v="1"/>
    <n v="6"/>
    <n v="3"/>
    <n v="3"/>
    <n v="6"/>
    <n v="5"/>
    <n v="1"/>
    <n v="3"/>
    <x v="1"/>
    <x v="1"/>
    <x v="0"/>
  </r>
  <r>
    <n v="31"/>
    <x v="0"/>
    <s v="Travel_Rarely"/>
    <n v="1365"/>
    <x v="0"/>
    <n v="13"/>
    <n v="4"/>
    <s v="Medical"/>
    <n v="1"/>
    <n v="650"/>
    <n v="2"/>
    <s v="Male"/>
    <n v="46"/>
    <n v="3"/>
    <n v="2"/>
    <x v="0"/>
    <n v="1"/>
    <s v="Divorced"/>
    <n v="4233"/>
    <n v="11512"/>
    <n v="2"/>
    <s v="Y"/>
    <x v="1"/>
    <n v="17"/>
    <n v="3"/>
    <n v="3"/>
    <n v="80"/>
    <n v="0"/>
    <n v="9"/>
    <n v="2"/>
    <n v="1"/>
    <n v="3"/>
    <n v="1"/>
    <n v="1"/>
    <n v="2"/>
    <x v="0"/>
    <x v="1"/>
    <x v="0"/>
  </r>
  <r>
    <n v="35"/>
    <x v="1"/>
    <s v="Travel_Rarely"/>
    <n v="538"/>
    <x v="1"/>
    <n v="25"/>
    <n v="2"/>
    <s v="Other"/>
    <n v="1"/>
    <n v="652"/>
    <n v="1"/>
    <s v="Male"/>
    <n v="54"/>
    <n v="2"/>
    <n v="2"/>
    <x v="2"/>
    <n v="4"/>
    <s v="Single"/>
    <n v="3681"/>
    <n v="14004"/>
    <n v="4"/>
    <s v="Y"/>
    <x v="1"/>
    <n v="14"/>
    <n v="3"/>
    <n v="4"/>
    <n v="80"/>
    <n v="0"/>
    <n v="9"/>
    <n v="3"/>
    <n v="3"/>
    <n v="3"/>
    <n v="2"/>
    <n v="0"/>
    <n v="2"/>
    <x v="1"/>
    <x v="1"/>
    <x v="0"/>
  </r>
  <r>
    <n v="31"/>
    <x v="1"/>
    <s v="Travel_Rarely"/>
    <n v="525"/>
    <x v="0"/>
    <n v="6"/>
    <n v="4"/>
    <s v="Medical"/>
    <n v="1"/>
    <n v="653"/>
    <n v="1"/>
    <s v="Male"/>
    <n v="66"/>
    <n v="4"/>
    <n v="2"/>
    <x v="0"/>
    <n v="4"/>
    <s v="Divorced"/>
    <n v="5460"/>
    <n v="6219"/>
    <n v="4"/>
    <s v="Y"/>
    <x v="1"/>
    <n v="22"/>
    <n v="4"/>
    <n v="4"/>
    <n v="80"/>
    <n v="2"/>
    <n v="13"/>
    <n v="4"/>
    <n v="4"/>
    <n v="7"/>
    <n v="7"/>
    <n v="5"/>
    <n v="7"/>
    <x v="1"/>
    <x v="1"/>
    <x v="0"/>
  </r>
  <r>
    <n v="27"/>
    <x v="1"/>
    <s v="Travel_Rarely"/>
    <n v="798"/>
    <x v="1"/>
    <n v="6"/>
    <n v="4"/>
    <s v="Medical"/>
    <n v="1"/>
    <n v="655"/>
    <n v="1"/>
    <s v="Female"/>
    <n v="66"/>
    <n v="2"/>
    <n v="1"/>
    <x v="1"/>
    <n v="3"/>
    <s v="Divorced"/>
    <n v="2187"/>
    <n v="5013"/>
    <n v="0"/>
    <s v="Y"/>
    <x v="1"/>
    <n v="12"/>
    <n v="3"/>
    <n v="3"/>
    <n v="80"/>
    <n v="2"/>
    <n v="6"/>
    <n v="5"/>
    <n v="2"/>
    <n v="5"/>
    <n v="3"/>
    <n v="0"/>
    <n v="3"/>
    <x v="1"/>
    <x v="2"/>
    <x v="1"/>
  </r>
  <r>
    <n v="37"/>
    <x v="1"/>
    <s v="Travel_Rarely"/>
    <n v="558"/>
    <x v="0"/>
    <n v="2"/>
    <n v="3"/>
    <s v="Marketing"/>
    <n v="1"/>
    <n v="656"/>
    <n v="4"/>
    <s v="Male"/>
    <n v="75"/>
    <n v="3"/>
    <n v="2"/>
    <x v="0"/>
    <n v="3"/>
    <s v="Married"/>
    <n v="9602"/>
    <n v="3010"/>
    <n v="4"/>
    <s v="Y"/>
    <x v="0"/>
    <n v="11"/>
    <n v="3"/>
    <n v="3"/>
    <n v="80"/>
    <n v="1"/>
    <n v="17"/>
    <n v="3"/>
    <n v="2"/>
    <n v="3"/>
    <n v="0"/>
    <n v="1"/>
    <n v="0"/>
    <x v="1"/>
    <x v="1"/>
    <x v="2"/>
  </r>
  <r>
    <n v="20"/>
    <x v="1"/>
    <s v="Travel_Rarely"/>
    <n v="959"/>
    <x v="1"/>
    <n v="1"/>
    <n v="3"/>
    <s v="Life Sciences"/>
    <n v="1"/>
    <n v="657"/>
    <n v="4"/>
    <s v="Female"/>
    <n v="83"/>
    <n v="2"/>
    <n v="1"/>
    <x v="1"/>
    <n v="2"/>
    <s v="Single"/>
    <n v="2836"/>
    <n v="11757"/>
    <n v="1"/>
    <s v="Y"/>
    <x v="1"/>
    <n v="13"/>
    <n v="3"/>
    <n v="4"/>
    <n v="80"/>
    <n v="0"/>
    <n v="1"/>
    <n v="0"/>
    <n v="4"/>
    <n v="1"/>
    <n v="0"/>
    <n v="0"/>
    <n v="0"/>
    <x v="1"/>
    <x v="2"/>
    <x v="1"/>
  </r>
  <r>
    <n v="42"/>
    <x v="1"/>
    <s v="Travel_Rarely"/>
    <n v="622"/>
    <x v="1"/>
    <n v="2"/>
    <n v="4"/>
    <s v="Life Sciences"/>
    <n v="1"/>
    <n v="659"/>
    <n v="3"/>
    <s v="Female"/>
    <n v="81"/>
    <n v="3"/>
    <n v="2"/>
    <x v="4"/>
    <n v="4"/>
    <s v="Married"/>
    <n v="4089"/>
    <n v="5718"/>
    <n v="1"/>
    <s v="Y"/>
    <x v="1"/>
    <n v="13"/>
    <n v="3"/>
    <n v="2"/>
    <n v="80"/>
    <n v="2"/>
    <n v="10"/>
    <n v="4"/>
    <n v="3"/>
    <n v="10"/>
    <n v="2"/>
    <n v="2"/>
    <n v="2"/>
    <x v="1"/>
    <x v="0"/>
    <x v="0"/>
  </r>
  <r>
    <n v="43"/>
    <x v="1"/>
    <s v="Travel_Rarely"/>
    <n v="782"/>
    <x v="1"/>
    <n v="6"/>
    <n v="4"/>
    <s v="Other"/>
    <n v="1"/>
    <n v="661"/>
    <n v="2"/>
    <s v="Male"/>
    <n v="50"/>
    <n v="2"/>
    <n v="4"/>
    <x v="7"/>
    <n v="4"/>
    <s v="Divorced"/>
    <n v="16627"/>
    <n v="2671"/>
    <n v="4"/>
    <s v="Y"/>
    <x v="0"/>
    <n v="14"/>
    <n v="3"/>
    <n v="3"/>
    <n v="80"/>
    <n v="1"/>
    <n v="21"/>
    <n v="3"/>
    <n v="2"/>
    <n v="1"/>
    <n v="0"/>
    <n v="0"/>
    <n v="0"/>
    <x v="1"/>
    <x v="0"/>
    <x v="2"/>
  </r>
  <r>
    <n v="38"/>
    <x v="1"/>
    <s v="Travel_Rarely"/>
    <n v="362"/>
    <x v="1"/>
    <n v="1"/>
    <n v="1"/>
    <s v="Life Sciences"/>
    <n v="1"/>
    <n v="662"/>
    <n v="3"/>
    <s v="Female"/>
    <n v="43"/>
    <n v="3"/>
    <n v="1"/>
    <x v="1"/>
    <n v="1"/>
    <s v="Single"/>
    <n v="2619"/>
    <n v="14561"/>
    <n v="3"/>
    <s v="Y"/>
    <x v="1"/>
    <n v="17"/>
    <n v="3"/>
    <n v="4"/>
    <n v="80"/>
    <n v="0"/>
    <n v="8"/>
    <n v="3"/>
    <n v="2"/>
    <n v="0"/>
    <n v="0"/>
    <n v="0"/>
    <n v="0"/>
    <x v="1"/>
    <x v="1"/>
    <x v="1"/>
  </r>
  <r>
    <n v="43"/>
    <x v="1"/>
    <s v="Travel_Frequently"/>
    <n v="1001"/>
    <x v="1"/>
    <n v="9"/>
    <n v="5"/>
    <s v="Medical"/>
    <n v="1"/>
    <n v="663"/>
    <n v="4"/>
    <s v="Male"/>
    <n v="72"/>
    <n v="3"/>
    <n v="2"/>
    <x v="2"/>
    <n v="3"/>
    <s v="Divorced"/>
    <n v="5679"/>
    <n v="19627"/>
    <n v="3"/>
    <s v="Y"/>
    <x v="0"/>
    <n v="13"/>
    <n v="3"/>
    <n v="2"/>
    <n v="80"/>
    <n v="1"/>
    <n v="10"/>
    <n v="3"/>
    <n v="3"/>
    <n v="8"/>
    <n v="7"/>
    <n v="4"/>
    <n v="7"/>
    <x v="1"/>
    <x v="0"/>
    <x v="0"/>
  </r>
  <r>
    <n v="48"/>
    <x v="1"/>
    <s v="Travel_Rarely"/>
    <n v="1236"/>
    <x v="1"/>
    <n v="1"/>
    <n v="4"/>
    <s v="Life Sciences"/>
    <n v="1"/>
    <n v="664"/>
    <n v="4"/>
    <s v="Female"/>
    <n v="40"/>
    <n v="2"/>
    <n v="4"/>
    <x v="5"/>
    <n v="1"/>
    <s v="Married"/>
    <n v="15402"/>
    <n v="17997"/>
    <n v="7"/>
    <s v="Y"/>
    <x v="1"/>
    <n v="11"/>
    <n v="3"/>
    <n v="1"/>
    <n v="80"/>
    <n v="1"/>
    <n v="21"/>
    <n v="3"/>
    <n v="1"/>
    <n v="3"/>
    <n v="2"/>
    <n v="0"/>
    <n v="2"/>
    <x v="1"/>
    <x v="0"/>
    <x v="2"/>
  </r>
  <r>
    <n v="44"/>
    <x v="1"/>
    <s v="Travel_Rarely"/>
    <n v="1112"/>
    <x v="2"/>
    <n v="1"/>
    <n v="4"/>
    <s v="Life Sciences"/>
    <n v="1"/>
    <n v="665"/>
    <n v="1"/>
    <s v="Female"/>
    <n v="50"/>
    <n v="2"/>
    <n v="2"/>
    <x v="8"/>
    <n v="3"/>
    <s v="Single"/>
    <n v="5985"/>
    <n v="26894"/>
    <n v="4"/>
    <s v="Y"/>
    <x v="1"/>
    <n v="11"/>
    <n v="3"/>
    <n v="2"/>
    <n v="80"/>
    <n v="0"/>
    <n v="10"/>
    <n v="1"/>
    <n v="4"/>
    <n v="2"/>
    <n v="2"/>
    <n v="0"/>
    <n v="2"/>
    <x v="1"/>
    <x v="0"/>
    <x v="0"/>
  </r>
  <r>
    <n v="34"/>
    <x v="1"/>
    <s v="Travel_Rarely"/>
    <n v="204"/>
    <x v="0"/>
    <n v="14"/>
    <n v="3"/>
    <s v="Technical Degree"/>
    <n v="1"/>
    <n v="666"/>
    <n v="3"/>
    <s v="Female"/>
    <n v="31"/>
    <n v="3"/>
    <n v="1"/>
    <x v="6"/>
    <n v="3"/>
    <s v="Divorced"/>
    <n v="2579"/>
    <n v="2912"/>
    <n v="1"/>
    <s v="Y"/>
    <x v="0"/>
    <n v="18"/>
    <n v="3"/>
    <n v="4"/>
    <n v="80"/>
    <n v="2"/>
    <n v="8"/>
    <n v="3"/>
    <n v="3"/>
    <n v="8"/>
    <n v="2"/>
    <n v="0"/>
    <n v="6"/>
    <x v="1"/>
    <x v="1"/>
    <x v="1"/>
  </r>
  <r>
    <n v="27"/>
    <x v="0"/>
    <s v="Travel_Rarely"/>
    <n v="1420"/>
    <x v="0"/>
    <n v="2"/>
    <n v="1"/>
    <s v="Marketing"/>
    <n v="1"/>
    <n v="667"/>
    <n v="3"/>
    <s v="Male"/>
    <n v="85"/>
    <n v="3"/>
    <n v="1"/>
    <x v="6"/>
    <n v="1"/>
    <s v="Divorced"/>
    <n v="3041"/>
    <n v="16346"/>
    <n v="0"/>
    <s v="Y"/>
    <x v="1"/>
    <n v="11"/>
    <n v="3"/>
    <n v="2"/>
    <n v="80"/>
    <n v="1"/>
    <n v="5"/>
    <n v="3"/>
    <n v="3"/>
    <n v="4"/>
    <n v="3"/>
    <n v="0"/>
    <n v="2"/>
    <x v="0"/>
    <x v="2"/>
    <x v="0"/>
  </r>
  <r>
    <n v="21"/>
    <x v="1"/>
    <s v="Travel_Rarely"/>
    <n v="1343"/>
    <x v="0"/>
    <n v="22"/>
    <n v="1"/>
    <s v="Technical Degree"/>
    <n v="1"/>
    <n v="669"/>
    <n v="3"/>
    <s v="Male"/>
    <n v="49"/>
    <n v="3"/>
    <n v="1"/>
    <x v="6"/>
    <n v="3"/>
    <s v="Single"/>
    <n v="3447"/>
    <n v="24444"/>
    <n v="1"/>
    <s v="Y"/>
    <x v="1"/>
    <n v="11"/>
    <n v="3"/>
    <n v="3"/>
    <n v="80"/>
    <n v="0"/>
    <n v="3"/>
    <n v="2"/>
    <n v="3"/>
    <n v="3"/>
    <n v="2"/>
    <n v="1"/>
    <n v="2"/>
    <x v="1"/>
    <x v="2"/>
    <x v="0"/>
  </r>
  <r>
    <n v="44"/>
    <x v="1"/>
    <s v="Travel_Rarely"/>
    <n v="1315"/>
    <x v="1"/>
    <n v="3"/>
    <n v="4"/>
    <s v="Other"/>
    <n v="1"/>
    <n v="671"/>
    <n v="4"/>
    <s v="Male"/>
    <n v="35"/>
    <n v="3"/>
    <n v="5"/>
    <x v="5"/>
    <n v="4"/>
    <s v="Married"/>
    <n v="19513"/>
    <n v="9358"/>
    <n v="4"/>
    <s v="Y"/>
    <x v="0"/>
    <n v="12"/>
    <n v="3"/>
    <n v="1"/>
    <n v="80"/>
    <n v="1"/>
    <n v="26"/>
    <n v="2"/>
    <n v="4"/>
    <n v="2"/>
    <n v="2"/>
    <n v="0"/>
    <n v="1"/>
    <x v="1"/>
    <x v="0"/>
    <x v="2"/>
  </r>
  <r>
    <n v="22"/>
    <x v="1"/>
    <s v="Travel_Rarely"/>
    <n v="604"/>
    <x v="1"/>
    <n v="6"/>
    <n v="1"/>
    <s v="Medical"/>
    <n v="1"/>
    <n v="675"/>
    <n v="1"/>
    <s v="Male"/>
    <n v="69"/>
    <n v="3"/>
    <n v="1"/>
    <x v="1"/>
    <n v="3"/>
    <s v="Married"/>
    <n v="2773"/>
    <n v="12145"/>
    <n v="0"/>
    <s v="Y"/>
    <x v="1"/>
    <n v="20"/>
    <n v="4"/>
    <n v="4"/>
    <n v="80"/>
    <n v="0"/>
    <n v="3"/>
    <n v="3"/>
    <n v="3"/>
    <n v="2"/>
    <n v="2"/>
    <n v="2"/>
    <n v="2"/>
    <x v="1"/>
    <x v="2"/>
    <x v="1"/>
  </r>
  <r>
    <n v="33"/>
    <x v="1"/>
    <s v="Travel_Rarely"/>
    <n v="1216"/>
    <x v="0"/>
    <n v="8"/>
    <n v="4"/>
    <s v="Marketing"/>
    <n v="1"/>
    <n v="677"/>
    <n v="3"/>
    <s v="Male"/>
    <n v="39"/>
    <n v="3"/>
    <n v="2"/>
    <x v="0"/>
    <n v="3"/>
    <s v="Divorced"/>
    <n v="7104"/>
    <n v="20431"/>
    <n v="0"/>
    <s v="Y"/>
    <x v="1"/>
    <n v="12"/>
    <n v="3"/>
    <n v="4"/>
    <n v="80"/>
    <n v="0"/>
    <n v="6"/>
    <n v="3"/>
    <n v="3"/>
    <n v="5"/>
    <n v="0"/>
    <n v="1"/>
    <n v="2"/>
    <x v="1"/>
    <x v="1"/>
    <x v="2"/>
  </r>
  <r>
    <n v="32"/>
    <x v="1"/>
    <s v="Travel_Rarely"/>
    <n v="646"/>
    <x v="1"/>
    <n v="9"/>
    <n v="4"/>
    <s v="Life Sciences"/>
    <n v="1"/>
    <n v="679"/>
    <n v="1"/>
    <s v="Female"/>
    <n v="92"/>
    <n v="3"/>
    <n v="2"/>
    <x v="1"/>
    <n v="4"/>
    <s v="Married"/>
    <n v="6322"/>
    <n v="18089"/>
    <n v="1"/>
    <s v="Y"/>
    <x v="0"/>
    <n v="12"/>
    <n v="3"/>
    <n v="4"/>
    <n v="80"/>
    <n v="1"/>
    <n v="6"/>
    <n v="2"/>
    <n v="2"/>
    <n v="6"/>
    <n v="4"/>
    <n v="0"/>
    <n v="5"/>
    <x v="1"/>
    <x v="1"/>
    <x v="0"/>
  </r>
  <r>
    <n v="30"/>
    <x v="1"/>
    <s v="Travel_Frequently"/>
    <n v="160"/>
    <x v="1"/>
    <n v="3"/>
    <n v="3"/>
    <s v="Medical"/>
    <n v="1"/>
    <n v="680"/>
    <n v="3"/>
    <s v="Female"/>
    <n v="71"/>
    <n v="3"/>
    <n v="1"/>
    <x v="1"/>
    <n v="3"/>
    <s v="Divorced"/>
    <n v="2083"/>
    <n v="22653"/>
    <n v="1"/>
    <s v="Y"/>
    <x v="1"/>
    <n v="20"/>
    <n v="4"/>
    <n v="3"/>
    <n v="80"/>
    <n v="1"/>
    <n v="1"/>
    <n v="2"/>
    <n v="3"/>
    <n v="1"/>
    <n v="0"/>
    <n v="0"/>
    <n v="0"/>
    <x v="1"/>
    <x v="1"/>
    <x v="1"/>
  </r>
  <r>
    <n v="53"/>
    <x v="1"/>
    <s v="Travel_Rarely"/>
    <n v="238"/>
    <x v="0"/>
    <n v="1"/>
    <n v="1"/>
    <s v="Medical"/>
    <n v="1"/>
    <n v="682"/>
    <n v="4"/>
    <s v="Female"/>
    <n v="34"/>
    <n v="3"/>
    <n v="2"/>
    <x v="0"/>
    <n v="1"/>
    <s v="Single"/>
    <n v="8381"/>
    <n v="7507"/>
    <n v="7"/>
    <s v="Y"/>
    <x v="1"/>
    <n v="20"/>
    <n v="4"/>
    <n v="4"/>
    <n v="80"/>
    <n v="0"/>
    <n v="18"/>
    <n v="2"/>
    <n v="4"/>
    <n v="14"/>
    <n v="7"/>
    <n v="8"/>
    <n v="10"/>
    <x v="1"/>
    <x v="3"/>
    <x v="2"/>
  </r>
  <r>
    <n v="34"/>
    <x v="1"/>
    <s v="Travel_Rarely"/>
    <n v="1397"/>
    <x v="1"/>
    <n v="1"/>
    <n v="5"/>
    <s v="Life Sciences"/>
    <n v="1"/>
    <n v="683"/>
    <n v="2"/>
    <s v="Male"/>
    <n v="42"/>
    <n v="3"/>
    <n v="1"/>
    <x v="1"/>
    <n v="4"/>
    <s v="Married"/>
    <n v="2691"/>
    <n v="7660"/>
    <n v="1"/>
    <s v="Y"/>
    <x v="1"/>
    <n v="12"/>
    <n v="3"/>
    <n v="4"/>
    <n v="80"/>
    <n v="1"/>
    <n v="10"/>
    <n v="4"/>
    <n v="2"/>
    <n v="10"/>
    <n v="9"/>
    <n v="8"/>
    <n v="8"/>
    <x v="1"/>
    <x v="1"/>
    <x v="1"/>
  </r>
  <r>
    <n v="45"/>
    <x v="0"/>
    <s v="Travel_Frequently"/>
    <n v="306"/>
    <x v="0"/>
    <n v="26"/>
    <n v="4"/>
    <s v="Life Sciences"/>
    <n v="1"/>
    <n v="684"/>
    <n v="1"/>
    <s v="Female"/>
    <n v="100"/>
    <n v="3"/>
    <n v="2"/>
    <x v="0"/>
    <n v="1"/>
    <s v="Married"/>
    <n v="4286"/>
    <n v="5630"/>
    <n v="2"/>
    <s v="Y"/>
    <x v="1"/>
    <n v="14"/>
    <n v="3"/>
    <n v="4"/>
    <n v="80"/>
    <n v="2"/>
    <n v="5"/>
    <n v="4"/>
    <n v="3"/>
    <n v="1"/>
    <n v="1"/>
    <n v="0"/>
    <n v="0"/>
    <x v="0"/>
    <x v="0"/>
    <x v="0"/>
  </r>
  <r>
    <n v="26"/>
    <x v="1"/>
    <s v="Travel_Rarely"/>
    <n v="991"/>
    <x v="1"/>
    <n v="6"/>
    <n v="3"/>
    <s v="Life Sciences"/>
    <n v="1"/>
    <n v="686"/>
    <n v="3"/>
    <s v="Female"/>
    <n v="71"/>
    <n v="3"/>
    <n v="1"/>
    <x v="2"/>
    <n v="4"/>
    <s v="Married"/>
    <n v="2659"/>
    <n v="17759"/>
    <n v="1"/>
    <s v="Y"/>
    <x v="0"/>
    <n v="13"/>
    <n v="3"/>
    <n v="3"/>
    <n v="80"/>
    <n v="1"/>
    <n v="3"/>
    <n v="2"/>
    <n v="3"/>
    <n v="3"/>
    <n v="2"/>
    <n v="0"/>
    <n v="2"/>
    <x v="1"/>
    <x v="2"/>
    <x v="1"/>
  </r>
  <r>
    <n v="37"/>
    <x v="1"/>
    <s v="Travel_Rarely"/>
    <n v="482"/>
    <x v="1"/>
    <n v="3"/>
    <n v="3"/>
    <s v="Other"/>
    <n v="1"/>
    <n v="689"/>
    <n v="3"/>
    <s v="Male"/>
    <n v="36"/>
    <n v="3"/>
    <n v="3"/>
    <x v="3"/>
    <n v="3"/>
    <s v="Married"/>
    <n v="9434"/>
    <n v="9606"/>
    <n v="1"/>
    <s v="Y"/>
    <x v="1"/>
    <n v="15"/>
    <n v="3"/>
    <n v="3"/>
    <n v="80"/>
    <n v="1"/>
    <n v="10"/>
    <n v="2"/>
    <n v="3"/>
    <n v="10"/>
    <n v="7"/>
    <n v="7"/>
    <n v="8"/>
    <x v="1"/>
    <x v="1"/>
    <x v="2"/>
  </r>
  <r>
    <n v="29"/>
    <x v="1"/>
    <s v="Travel_Rarely"/>
    <n v="1176"/>
    <x v="0"/>
    <n v="3"/>
    <n v="2"/>
    <s v="Medical"/>
    <n v="1"/>
    <n v="690"/>
    <n v="2"/>
    <s v="Female"/>
    <n v="62"/>
    <n v="3"/>
    <n v="2"/>
    <x v="0"/>
    <n v="3"/>
    <s v="Married"/>
    <n v="5561"/>
    <n v="3487"/>
    <n v="1"/>
    <s v="Y"/>
    <x v="1"/>
    <n v="14"/>
    <n v="3"/>
    <n v="1"/>
    <n v="80"/>
    <n v="1"/>
    <n v="6"/>
    <n v="5"/>
    <n v="2"/>
    <n v="6"/>
    <n v="0"/>
    <n v="1"/>
    <n v="2"/>
    <x v="1"/>
    <x v="2"/>
    <x v="0"/>
  </r>
  <r>
    <n v="35"/>
    <x v="1"/>
    <s v="Travel_Rarely"/>
    <n v="1017"/>
    <x v="1"/>
    <n v="6"/>
    <n v="4"/>
    <s v="Life Sciences"/>
    <n v="1"/>
    <n v="691"/>
    <n v="2"/>
    <s v="Male"/>
    <n v="82"/>
    <n v="1"/>
    <n v="2"/>
    <x v="1"/>
    <n v="4"/>
    <s v="Single"/>
    <n v="6646"/>
    <n v="19368"/>
    <n v="1"/>
    <s v="Y"/>
    <x v="1"/>
    <n v="13"/>
    <n v="3"/>
    <n v="2"/>
    <n v="80"/>
    <n v="0"/>
    <n v="17"/>
    <n v="3"/>
    <n v="3"/>
    <n v="17"/>
    <n v="11"/>
    <n v="11"/>
    <n v="8"/>
    <x v="1"/>
    <x v="1"/>
    <x v="0"/>
  </r>
  <r>
    <n v="33"/>
    <x v="1"/>
    <s v="Travel_Frequently"/>
    <n v="1296"/>
    <x v="1"/>
    <n v="6"/>
    <n v="3"/>
    <s v="Life Sciences"/>
    <n v="1"/>
    <n v="692"/>
    <n v="3"/>
    <s v="Male"/>
    <n v="30"/>
    <n v="3"/>
    <n v="2"/>
    <x v="4"/>
    <n v="4"/>
    <s v="Divorced"/>
    <n v="7725"/>
    <n v="5335"/>
    <n v="3"/>
    <s v="Y"/>
    <x v="1"/>
    <n v="23"/>
    <n v="4"/>
    <n v="3"/>
    <n v="80"/>
    <n v="1"/>
    <n v="15"/>
    <n v="2"/>
    <n v="1"/>
    <n v="13"/>
    <n v="11"/>
    <n v="4"/>
    <n v="7"/>
    <x v="1"/>
    <x v="1"/>
    <x v="2"/>
  </r>
  <r>
    <n v="54"/>
    <x v="1"/>
    <s v="Travel_Rarely"/>
    <n v="397"/>
    <x v="2"/>
    <n v="19"/>
    <n v="4"/>
    <s v="Medical"/>
    <n v="1"/>
    <n v="698"/>
    <n v="3"/>
    <s v="Male"/>
    <n v="88"/>
    <n v="3"/>
    <n v="3"/>
    <x v="8"/>
    <n v="2"/>
    <s v="Married"/>
    <n v="10725"/>
    <n v="6729"/>
    <n v="2"/>
    <s v="Y"/>
    <x v="1"/>
    <n v="15"/>
    <n v="3"/>
    <n v="3"/>
    <n v="80"/>
    <n v="1"/>
    <n v="16"/>
    <n v="1"/>
    <n v="4"/>
    <n v="9"/>
    <n v="7"/>
    <n v="7"/>
    <n v="1"/>
    <x v="1"/>
    <x v="3"/>
    <x v="2"/>
  </r>
  <r>
    <n v="36"/>
    <x v="1"/>
    <s v="Travel_Rarely"/>
    <n v="913"/>
    <x v="1"/>
    <n v="9"/>
    <n v="2"/>
    <s v="Medical"/>
    <n v="1"/>
    <n v="699"/>
    <n v="2"/>
    <s v="Male"/>
    <n v="48"/>
    <n v="2"/>
    <n v="2"/>
    <x v="3"/>
    <n v="2"/>
    <s v="Divorced"/>
    <n v="8847"/>
    <n v="13934"/>
    <n v="2"/>
    <s v="Y"/>
    <x v="0"/>
    <n v="11"/>
    <n v="3"/>
    <n v="3"/>
    <n v="80"/>
    <n v="1"/>
    <n v="13"/>
    <n v="2"/>
    <n v="3"/>
    <n v="3"/>
    <n v="2"/>
    <n v="0"/>
    <n v="2"/>
    <x v="1"/>
    <x v="1"/>
    <x v="2"/>
  </r>
  <r>
    <n v="27"/>
    <x v="1"/>
    <s v="Travel_Rarely"/>
    <n v="1115"/>
    <x v="1"/>
    <n v="3"/>
    <n v="4"/>
    <s v="Medical"/>
    <n v="1"/>
    <n v="700"/>
    <n v="1"/>
    <s v="Male"/>
    <n v="54"/>
    <n v="2"/>
    <n v="1"/>
    <x v="1"/>
    <n v="4"/>
    <s v="Single"/>
    <n v="2045"/>
    <n v="15174"/>
    <n v="0"/>
    <s v="Y"/>
    <x v="1"/>
    <n v="13"/>
    <n v="3"/>
    <n v="4"/>
    <n v="80"/>
    <n v="0"/>
    <n v="5"/>
    <n v="0"/>
    <n v="3"/>
    <n v="4"/>
    <n v="2"/>
    <n v="1"/>
    <n v="1"/>
    <x v="1"/>
    <x v="2"/>
    <x v="1"/>
  </r>
  <r>
    <n v="20"/>
    <x v="0"/>
    <s v="Travel_Rarely"/>
    <n v="1362"/>
    <x v="1"/>
    <n v="10"/>
    <n v="1"/>
    <s v="Medical"/>
    <n v="1"/>
    <n v="701"/>
    <n v="4"/>
    <s v="Male"/>
    <n v="32"/>
    <n v="3"/>
    <n v="1"/>
    <x v="1"/>
    <n v="3"/>
    <s v="Single"/>
    <n v="1009"/>
    <n v="26999"/>
    <n v="1"/>
    <s v="Y"/>
    <x v="0"/>
    <n v="11"/>
    <n v="3"/>
    <n v="4"/>
    <n v="80"/>
    <n v="0"/>
    <n v="1"/>
    <n v="5"/>
    <n v="3"/>
    <n v="1"/>
    <n v="0"/>
    <n v="1"/>
    <n v="1"/>
    <x v="0"/>
    <x v="2"/>
    <x v="1"/>
  </r>
  <r>
    <n v="33"/>
    <x v="0"/>
    <s v="Travel_Frequently"/>
    <n v="1076"/>
    <x v="1"/>
    <n v="3"/>
    <n v="3"/>
    <s v="Life Sciences"/>
    <n v="1"/>
    <n v="702"/>
    <n v="1"/>
    <s v="Male"/>
    <n v="70"/>
    <n v="3"/>
    <n v="1"/>
    <x v="1"/>
    <n v="1"/>
    <s v="Single"/>
    <n v="3348"/>
    <n v="3164"/>
    <n v="1"/>
    <s v="Y"/>
    <x v="0"/>
    <n v="11"/>
    <n v="3"/>
    <n v="1"/>
    <n v="80"/>
    <n v="0"/>
    <n v="10"/>
    <n v="3"/>
    <n v="3"/>
    <n v="10"/>
    <n v="8"/>
    <n v="9"/>
    <n v="7"/>
    <x v="0"/>
    <x v="1"/>
    <x v="0"/>
  </r>
  <r>
    <n v="35"/>
    <x v="1"/>
    <s v="Non-Travel"/>
    <n v="727"/>
    <x v="1"/>
    <n v="3"/>
    <n v="3"/>
    <s v="Life Sciences"/>
    <n v="1"/>
    <n v="704"/>
    <n v="3"/>
    <s v="Male"/>
    <n v="41"/>
    <n v="2"/>
    <n v="1"/>
    <x v="2"/>
    <n v="3"/>
    <s v="Married"/>
    <n v="1281"/>
    <n v="16900"/>
    <n v="1"/>
    <s v="Y"/>
    <x v="1"/>
    <n v="18"/>
    <n v="3"/>
    <n v="3"/>
    <n v="80"/>
    <n v="2"/>
    <n v="1"/>
    <n v="3"/>
    <n v="3"/>
    <n v="1"/>
    <n v="0"/>
    <n v="0"/>
    <n v="0"/>
    <x v="1"/>
    <x v="1"/>
    <x v="1"/>
  </r>
  <r>
    <n v="23"/>
    <x v="1"/>
    <s v="Travel_Rarely"/>
    <n v="885"/>
    <x v="1"/>
    <n v="4"/>
    <n v="3"/>
    <s v="Medical"/>
    <n v="1"/>
    <n v="705"/>
    <n v="1"/>
    <s v="Male"/>
    <n v="58"/>
    <n v="4"/>
    <n v="1"/>
    <x v="1"/>
    <n v="1"/>
    <s v="Married"/>
    <n v="2819"/>
    <n v="8544"/>
    <n v="2"/>
    <s v="Y"/>
    <x v="1"/>
    <n v="16"/>
    <n v="3"/>
    <n v="1"/>
    <n v="80"/>
    <n v="1"/>
    <n v="5"/>
    <n v="3"/>
    <n v="4"/>
    <n v="3"/>
    <n v="2"/>
    <n v="0"/>
    <n v="2"/>
    <x v="1"/>
    <x v="2"/>
    <x v="1"/>
  </r>
  <r>
    <n v="25"/>
    <x v="1"/>
    <s v="Travel_Rarely"/>
    <n v="810"/>
    <x v="0"/>
    <n v="8"/>
    <n v="3"/>
    <s v="Life Sciences"/>
    <n v="1"/>
    <n v="707"/>
    <n v="4"/>
    <s v="Male"/>
    <n v="57"/>
    <n v="4"/>
    <n v="2"/>
    <x v="0"/>
    <n v="2"/>
    <s v="Married"/>
    <n v="4851"/>
    <n v="15678"/>
    <n v="0"/>
    <s v="Y"/>
    <x v="1"/>
    <n v="22"/>
    <n v="4"/>
    <n v="3"/>
    <n v="80"/>
    <n v="1"/>
    <n v="4"/>
    <n v="4"/>
    <n v="3"/>
    <n v="3"/>
    <n v="2"/>
    <n v="1"/>
    <n v="2"/>
    <x v="1"/>
    <x v="2"/>
    <x v="0"/>
  </r>
  <r>
    <n v="38"/>
    <x v="1"/>
    <s v="Travel_Rarely"/>
    <n v="243"/>
    <x v="0"/>
    <n v="7"/>
    <n v="4"/>
    <s v="Marketing"/>
    <n v="1"/>
    <n v="709"/>
    <n v="4"/>
    <s v="Female"/>
    <n v="46"/>
    <n v="2"/>
    <n v="2"/>
    <x v="0"/>
    <n v="4"/>
    <s v="Single"/>
    <n v="4028"/>
    <n v="7791"/>
    <n v="0"/>
    <s v="Y"/>
    <x v="1"/>
    <n v="20"/>
    <n v="4"/>
    <n v="1"/>
    <n v="80"/>
    <n v="0"/>
    <n v="8"/>
    <n v="2"/>
    <n v="3"/>
    <n v="7"/>
    <n v="7"/>
    <n v="0"/>
    <n v="5"/>
    <x v="1"/>
    <x v="1"/>
    <x v="0"/>
  </r>
  <r>
    <n v="29"/>
    <x v="1"/>
    <s v="Travel_Frequently"/>
    <n v="806"/>
    <x v="1"/>
    <n v="1"/>
    <n v="4"/>
    <s v="Life Sciences"/>
    <n v="1"/>
    <n v="710"/>
    <n v="2"/>
    <s v="Male"/>
    <n v="76"/>
    <n v="1"/>
    <n v="1"/>
    <x v="1"/>
    <n v="4"/>
    <s v="Divorced"/>
    <n v="2720"/>
    <n v="18959"/>
    <n v="1"/>
    <s v="Y"/>
    <x v="1"/>
    <n v="18"/>
    <n v="3"/>
    <n v="4"/>
    <n v="80"/>
    <n v="1"/>
    <n v="10"/>
    <n v="5"/>
    <n v="3"/>
    <n v="10"/>
    <n v="7"/>
    <n v="2"/>
    <n v="8"/>
    <x v="1"/>
    <x v="2"/>
    <x v="1"/>
  </r>
  <r>
    <n v="48"/>
    <x v="1"/>
    <s v="Travel_Rarely"/>
    <n v="817"/>
    <x v="0"/>
    <n v="2"/>
    <n v="1"/>
    <s v="Marketing"/>
    <n v="1"/>
    <n v="712"/>
    <n v="2"/>
    <s v="Male"/>
    <n v="56"/>
    <n v="4"/>
    <n v="2"/>
    <x v="0"/>
    <n v="2"/>
    <s v="Married"/>
    <n v="8120"/>
    <n v="18597"/>
    <n v="3"/>
    <s v="Y"/>
    <x v="1"/>
    <n v="12"/>
    <n v="3"/>
    <n v="4"/>
    <n v="80"/>
    <n v="0"/>
    <n v="12"/>
    <n v="3"/>
    <n v="3"/>
    <n v="2"/>
    <n v="2"/>
    <n v="2"/>
    <n v="2"/>
    <x v="1"/>
    <x v="0"/>
    <x v="2"/>
  </r>
  <r>
    <n v="27"/>
    <x v="1"/>
    <s v="Travel_Frequently"/>
    <n v="1410"/>
    <x v="0"/>
    <n v="3"/>
    <n v="1"/>
    <s v="Medical"/>
    <n v="1"/>
    <n v="714"/>
    <n v="4"/>
    <s v="Female"/>
    <n v="71"/>
    <n v="4"/>
    <n v="2"/>
    <x v="0"/>
    <n v="4"/>
    <s v="Divorced"/>
    <n v="4647"/>
    <n v="16673"/>
    <n v="1"/>
    <s v="Y"/>
    <x v="0"/>
    <n v="20"/>
    <n v="4"/>
    <n v="2"/>
    <n v="80"/>
    <n v="2"/>
    <n v="6"/>
    <n v="3"/>
    <n v="3"/>
    <n v="6"/>
    <n v="5"/>
    <n v="0"/>
    <n v="4"/>
    <x v="1"/>
    <x v="2"/>
    <x v="0"/>
  </r>
  <r>
    <n v="37"/>
    <x v="1"/>
    <s v="Travel_Rarely"/>
    <n v="1225"/>
    <x v="1"/>
    <n v="10"/>
    <n v="2"/>
    <s v="Life Sciences"/>
    <n v="1"/>
    <n v="715"/>
    <n v="4"/>
    <s v="Male"/>
    <n v="80"/>
    <n v="4"/>
    <n v="1"/>
    <x v="1"/>
    <n v="4"/>
    <s v="Single"/>
    <n v="4680"/>
    <n v="15232"/>
    <n v="3"/>
    <s v="Y"/>
    <x v="1"/>
    <n v="17"/>
    <n v="3"/>
    <n v="1"/>
    <n v="80"/>
    <n v="0"/>
    <n v="4"/>
    <n v="2"/>
    <n v="3"/>
    <n v="1"/>
    <n v="0"/>
    <n v="0"/>
    <n v="0"/>
    <x v="1"/>
    <x v="1"/>
    <x v="0"/>
  </r>
  <r>
    <n v="50"/>
    <x v="1"/>
    <s v="Travel_Rarely"/>
    <n v="1207"/>
    <x v="1"/>
    <n v="28"/>
    <n v="1"/>
    <s v="Medical"/>
    <n v="1"/>
    <n v="716"/>
    <n v="4"/>
    <s v="Male"/>
    <n v="74"/>
    <n v="4"/>
    <n v="1"/>
    <x v="2"/>
    <n v="3"/>
    <s v="Married"/>
    <n v="3221"/>
    <n v="3297"/>
    <n v="1"/>
    <s v="Y"/>
    <x v="0"/>
    <n v="11"/>
    <n v="3"/>
    <n v="3"/>
    <n v="80"/>
    <n v="3"/>
    <n v="20"/>
    <n v="3"/>
    <n v="3"/>
    <n v="20"/>
    <n v="8"/>
    <n v="3"/>
    <n v="8"/>
    <x v="1"/>
    <x v="3"/>
    <x v="0"/>
  </r>
  <r>
    <n v="34"/>
    <x v="1"/>
    <s v="Travel_Rarely"/>
    <n v="1442"/>
    <x v="1"/>
    <n v="9"/>
    <n v="3"/>
    <s v="Medical"/>
    <n v="1"/>
    <n v="717"/>
    <n v="4"/>
    <s v="Female"/>
    <n v="46"/>
    <n v="2"/>
    <n v="3"/>
    <x v="4"/>
    <n v="2"/>
    <s v="Single"/>
    <n v="8621"/>
    <n v="17654"/>
    <n v="1"/>
    <s v="Y"/>
    <x v="1"/>
    <n v="14"/>
    <n v="3"/>
    <n v="2"/>
    <n v="80"/>
    <n v="0"/>
    <n v="9"/>
    <n v="3"/>
    <n v="4"/>
    <n v="8"/>
    <n v="7"/>
    <n v="7"/>
    <n v="7"/>
    <x v="1"/>
    <x v="1"/>
    <x v="2"/>
  </r>
  <r>
    <n v="24"/>
    <x v="0"/>
    <s v="Travel_Rarely"/>
    <n v="693"/>
    <x v="0"/>
    <n v="3"/>
    <n v="2"/>
    <s v="Life Sciences"/>
    <n v="1"/>
    <n v="720"/>
    <n v="1"/>
    <s v="Female"/>
    <n v="65"/>
    <n v="3"/>
    <n v="2"/>
    <x v="0"/>
    <n v="3"/>
    <s v="Single"/>
    <n v="4577"/>
    <n v="24785"/>
    <n v="9"/>
    <s v="Y"/>
    <x v="1"/>
    <n v="14"/>
    <n v="3"/>
    <n v="1"/>
    <n v="80"/>
    <n v="0"/>
    <n v="4"/>
    <n v="3"/>
    <n v="3"/>
    <n v="2"/>
    <n v="2"/>
    <n v="2"/>
    <n v="0"/>
    <x v="0"/>
    <x v="2"/>
    <x v="0"/>
  </r>
  <r>
    <n v="39"/>
    <x v="1"/>
    <s v="Travel_Rarely"/>
    <n v="408"/>
    <x v="1"/>
    <n v="2"/>
    <n v="4"/>
    <s v="Technical Degree"/>
    <n v="1"/>
    <n v="721"/>
    <n v="4"/>
    <s v="Female"/>
    <n v="80"/>
    <n v="2"/>
    <n v="2"/>
    <x v="4"/>
    <n v="3"/>
    <s v="Single"/>
    <n v="4553"/>
    <n v="20978"/>
    <n v="1"/>
    <s v="Y"/>
    <x v="1"/>
    <n v="11"/>
    <n v="3"/>
    <n v="1"/>
    <n v="80"/>
    <n v="0"/>
    <n v="20"/>
    <n v="4"/>
    <n v="3"/>
    <n v="20"/>
    <n v="7"/>
    <n v="11"/>
    <n v="10"/>
    <x v="1"/>
    <x v="1"/>
    <x v="0"/>
  </r>
  <r>
    <n v="32"/>
    <x v="1"/>
    <s v="Travel_Rarely"/>
    <n v="929"/>
    <x v="0"/>
    <n v="10"/>
    <n v="3"/>
    <s v="Marketing"/>
    <n v="1"/>
    <n v="722"/>
    <n v="4"/>
    <s v="Male"/>
    <n v="55"/>
    <n v="3"/>
    <n v="2"/>
    <x v="0"/>
    <n v="4"/>
    <s v="Single"/>
    <n v="5396"/>
    <n v="21703"/>
    <n v="1"/>
    <s v="Y"/>
    <x v="1"/>
    <n v="12"/>
    <n v="3"/>
    <n v="4"/>
    <n v="80"/>
    <n v="0"/>
    <n v="10"/>
    <n v="2"/>
    <n v="2"/>
    <n v="10"/>
    <n v="7"/>
    <n v="0"/>
    <n v="8"/>
    <x v="1"/>
    <x v="1"/>
    <x v="0"/>
  </r>
  <r>
    <n v="50"/>
    <x v="0"/>
    <s v="Travel_Frequently"/>
    <n v="562"/>
    <x v="0"/>
    <n v="8"/>
    <n v="2"/>
    <s v="Technical Degree"/>
    <n v="1"/>
    <n v="723"/>
    <n v="2"/>
    <s v="Male"/>
    <n v="50"/>
    <n v="3"/>
    <n v="2"/>
    <x v="0"/>
    <n v="3"/>
    <s v="Married"/>
    <n v="6796"/>
    <n v="23452"/>
    <n v="3"/>
    <s v="Y"/>
    <x v="0"/>
    <n v="14"/>
    <n v="3"/>
    <n v="1"/>
    <n v="80"/>
    <n v="1"/>
    <n v="18"/>
    <n v="4"/>
    <n v="3"/>
    <n v="4"/>
    <n v="3"/>
    <n v="1"/>
    <n v="3"/>
    <x v="0"/>
    <x v="3"/>
    <x v="0"/>
  </r>
  <r>
    <n v="38"/>
    <x v="1"/>
    <s v="Travel_Rarely"/>
    <n v="827"/>
    <x v="1"/>
    <n v="1"/>
    <n v="4"/>
    <s v="Life Sciences"/>
    <n v="1"/>
    <n v="724"/>
    <n v="2"/>
    <s v="Female"/>
    <n v="33"/>
    <n v="4"/>
    <n v="2"/>
    <x v="4"/>
    <n v="4"/>
    <s v="Single"/>
    <n v="7625"/>
    <n v="19383"/>
    <n v="0"/>
    <s v="Y"/>
    <x v="1"/>
    <n v="13"/>
    <n v="3"/>
    <n v="3"/>
    <n v="80"/>
    <n v="0"/>
    <n v="10"/>
    <n v="4"/>
    <n v="2"/>
    <n v="9"/>
    <n v="7"/>
    <n v="1"/>
    <n v="8"/>
    <x v="1"/>
    <x v="1"/>
    <x v="2"/>
  </r>
  <r>
    <n v="27"/>
    <x v="1"/>
    <s v="Travel_Rarely"/>
    <n v="608"/>
    <x v="1"/>
    <n v="1"/>
    <n v="2"/>
    <s v="Life Sciences"/>
    <n v="1"/>
    <n v="725"/>
    <n v="3"/>
    <s v="Female"/>
    <n v="68"/>
    <n v="3"/>
    <n v="3"/>
    <x v="3"/>
    <n v="1"/>
    <s v="Married"/>
    <n v="7412"/>
    <n v="6009"/>
    <n v="1"/>
    <s v="Y"/>
    <x v="1"/>
    <n v="11"/>
    <n v="3"/>
    <n v="4"/>
    <n v="80"/>
    <n v="0"/>
    <n v="9"/>
    <n v="3"/>
    <n v="3"/>
    <n v="9"/>
    <n v="7"/>
    <n v="0"/>
    <n v="7"/>
    <x v="1"/>
    <x v="2"/>
    <x v="2"/>
  </r>
  <r>
    <n v="32"/>
    <x v="1"/>
    <s v="Travel_Rarely"/>
    <n v="1018"/>
    <x v="1"/>
    <n v="3"/>
    <n v="2"/>
    <s v="Life Sciences"/>
    <n v="1"/>
    <n v="727"/>
    <n v="3"/>
    <s v="Female"/>
    <n v="39"/>
    <n v="3"/>
    <n v="3"/>
    <x v="7"/>
    <n v="4"/>
    <s v="Single"/>
    <n v="11159"/>
    <n v="19373"/>
    <n v="3"/>
    <s v="Y"/>
    <x v="1"/>
    <n v="15"/>
    <n v="3"/>
    <n v="4"/>
    <n v="80"/>
    <n v="0"/>
    <n v="10"/>
    <n v="6"/>
    <n v="3"/>
    <n v="7"/>
    <n v="7"/>
    <n v="7"/>
    <n v="7"/>
    <x v="1"/>
    <x v="1"/>
    <x v="2"/>
  </r>
  <r>
    <n v="47"/>
    <x v="1"/>
    <s v="Travel_Rarely"/>
    <n v="703"/>
    <x v="0"/>
    <n v="14"/>
    <n v="4"/>
    <s v="Marketing"/>
    <n v="1"/>
    <n v="728"/>
    <n v="4"/>
    <s v="Male"/>
    <n v="42"/>
    <n v="3"/>
    <n v="2"/>
    <x v="0"/>
    <n v="1"/>
    <s v="Single"/>
    <n v="4960"/>
    <n v="11825"/>
    <n v="2"/>
    <s v="Y"/>
    <x v="1"/>
    <n v="12"/>
    <n v="3"/>
    <n v="4"/>
    <n v="80"/>
    <n v="0"/>
    <n v="20"/>
    <n v="2"/>
    <n v="3"/>
    <n v="7"/>
    <n v="7"/>
    <n v="1"/>
    <n v="7"/>
    <x v="1"/>
    <x v="0"/>
    <x v="0"/>
  </r>
  <r>
    <n v="40"/>
    <x v="1"/>
    <s v="Travel_Frequently"/>
    <n v="580"/>
    <x v="0"/>
    <n v="5"/>
    <n v="4"/>
    <s v="Life Sciences"/>
    <n v="1"/>
    <n v="729"/>
    <n v="4"/>
    <s v="Male"/>
    <n v="48"/>
    <n v="2"/>
    <n v="3"/>
    <x v="0"/>
    <n v="1"/>
    <s v="Married"/>
    <n v="10475"/>
    <n v="23772"/>
    <n v="5"/>
    <s v="Y"/>
    <x v="0"/>
    <n v="21"/>
    <n v="4"/>
    <n v="3"/>
    <n v="80"/>
    <n v="1"/>
    <n v="20"/>
    <n v="2"/>
    <n v="3"/>
    <n v="18"/>
    <n v="13"/>
    <n v="1"/>
    <n v="12"/>
    <x v="1"/>
    <x v="0"/>
    <x v="2"/>
  </r>
  <r>
    <n v="53"/>
    <x v="1"/>
    <s v="Travel_Rarely"/>
    <n v="970"/>
    <x v="1"/>
    <n v="7"/>
    <n v="3"/>
    <s v="Life Sciences"/>
    <n v="1"/>
    <n v="730"/>
    <n v="3"/>
    <s v="Male"/>
    <n v="59"/>
    <n v="4"/>
    <n v="4"/>
    <x v="7"/>
    <n v="3"/>
    <s v="Married"/>
    <n v="14814"/>
    <n v="13514"/>
    <n v="3"/>
    <s v="Y"/>
    <x v="1"/>
    <n v="19"/>
    <n v="3"/>
    <n v="3"/>
    <n v="80"/>
    <n v="0"/>
    <n v="32"/>
    <n v="3"/>
    <n v="3"/>
    <n v="5"/>
    <n v="1"/>
    <n v="1"/>
    <n v="3"/>
    <x v="1"/>
    <x v="3"/>
    <x v="2"/>
  </r>
  <r>
    <n v="41"/>
    <x v="1"/>
    <s v="Travel_Rarely"/>
    <n v="427"/>
    <x v="2"/>
    <n v="10"/>
    <n v="4"/>
    <s v="Human Resources"/>
    <n v="1"/>
    <n v="731"/>
    <n v="2"/>
    <s v="Male"/>
    <n v="73"/>
    <n v="2"/>
    <n v="5"/>
    <x v="5"/>
    <n v="4"/>
    <s v="Divorced"/>
    <n v="19141"/>
    <n v="8861"/>
    <n v="3"/>
    <s v="Y"/>
    <x v="1"/>
    <n v="15"/>
    <n v="3"/>
    <n v="2"/>
    <n v="80"/>
    <n v="3"/>
    <n v="23"/>
    <n v="2"/>
    <n v="2"/>
    <n v="21"/>
    <n v="6"/>
    <n v="12"/>
    <n v="6"/>
    <x v="1"/>
    <x v="0"/>
    <x v="2"/>
  </r>
  <r>
    <n v="60"/>
    <x v="1"/>
    <s v="Travel_Rarely"/>
    <n v="1179"/>
    <x v="0"/>
    <n v="16"/>
    <n v="4"/>
    <s v="Marketing"/>
    <n v="1"/>
    <n v="732"/>
    <n v="1"/>
    <s v="Male"/>
    <n v="84"/>
    <n v="3"/>
    <n v="2"/>
    <x v="0"/>
    <n v="1"/>
    <s v="Single"/>
    <n v="5405"/>
    <n v="11924"/>
    <n v="8"/>
    <s v="Y"/>
    <x v="1"/>
    <n v="14"/>
    <n v="3"/>
    <n v="4"/>
    <n v="80"/>
    <n v="0"/>
    <n v="10"/>
    <n v="1"/>
    <n v="3"/>
    <n v="2"/>
    <n v="2"/>
    <n v="2"/>
    <n v="2"/>
    <x v="1"/>
    <x v="3"/>
    <x v="0"/>
  </r>
  <r>
    <n v="27"/>
    <x v="1"/>
    <s v="Travel_Frequently"/>
    <n v="294"/>
    <x v="1"/>
    <n v="10"/>
    <n v="2"/>
    <s v="Life Sciences"/>
    <n v="1"/>
    <n v="733"/>
    <n v="4"/>
    <s v="Male"/>
    <n v="32"/>
    <n v="3"/>
    <n v="3"/>
    <x v="3"/>
    <n v="1"/>
    <s v="Divorced"/>
    <n v="8793"/>
    <n v="4809"/>
    <n v="1"/>
    <s v="Y"/>
    <x v="1"/>
    <n v="21"/>
    <n v="4"/>
    <n v="3"/>
    <n v="80"/>
    <n v="2"/>
    <n v="9"/>
    <n v="4"/>
    <n v="2"/>
    <n v="9"/>
    <n v="7"/>
    <n v="1"/>
    <n v="7"/>
    <x v="1"/>
    <x v="2"/>
    <x v="2"/>
  </r>
  <r>
    <n v="41"/>
    <x v="1"/>
    <s v="Travel_Rarely"/>
    <n v="314"/>
    <x v="2"/>
    <n v="1"/>
    <n v="3"/>
    <s v="Human Resources"/>
    <n v="1"/>
    <n v="734"/>
    <n v="4"/>
    <s v="Male"/>
    <n v="59"/>
    <n v="2"/>
    <n v="5"/>
    <x v="5"/>
    <n v="3"/>
    <s v="Married"/>
    <n v="19189"/>
    <n v="19562"/>
    <n v="1"/>
    <s v="Y"/>
    <x v="1"/>
    <n v="12"/>
    <n v="3"/>
    <n v="2"/>
    <n v="80"/>
    <n v="1"/>
    <n v="22"/>
    <n v="3"/>
    <n v="3"/>
    <n v="22"/>
    <n v="7"/>
    <n v="2"/>
    <n v="10"/>
    <x v="1"/>
    <x v="0"/>
    <x v="2"/>
  </r>
  <r>
    <n v="50"/>
    <x v="1"/>
    <s v="Travel_Rarely"/>
    <n v="316"/>
    <x v="0"/>
    <n v="8"/>
    <n v="4"/>
    <s v="Marketing"/>
    <n v="1"/>
    <n v="738"/>
    <n v="4"/>
    <s v="Male"/>
    <n v="54"/>
    <n v="3"/>
    <n v="1"/>
    <x v="6"/>
    <n v="2"/>
    <s v="Married"/>
    <n v="3875"/>
    <n v="9983"/>
    <n v="7"/>
    <s v="Y"/>
    <x v="1"/>
    <n v="15"/>
    <n v="3"/>
    <n v="4"/>
    <n v="80"/>
    <n v="1"/>
    <n v="4"/>
    <n v="2"/>
    <n v="3"/>
    <n v="2"/>
    <n v="2"/>
    <n v="2"/>
    <n v="2"/>
    <x v="1"/>
    <x v="3"/>
    <x v="0"/>
  </r>
  <r>
    <n v="28"/>
    <x v="0"/>
    <s v="Travel_Rarely"/>
    <n v="654"/>
    <x v="1"/>
    <n v="1"/>
    <n v="2"/>
    <s v="Life Sciences"/>
    <n v="1"/>
    <n v="741"/>
    <n v="1"/>
    <s v="Female"/>
    <n v="67"/>
    <n v="1"/>
    <n v="1"/>
    <x v="1"/>
    <n v="2"/>
    <s v="Single"/>
    <n v="2216"/>
    <n v="3872"/>
    <n v="7"/>
    <s v="Y"/>
    <x v="0"/>
    <n v="13"/>
    <n v="3"/>
    <n v="4"/>
    <n v="80"/>
    <n v="0"/>
    <n v="10"/>
    <n v="4"/>
    <n v="3"/>
    <n v="7"/>
    <n v="7"/>
    <n v="3"/>
    <n v="7"/>
    <x v="0"/>
    <x v="2"/>
    <x v="1"/>
  </r>
  <r>
    <n v="36"/>
    <x v="1"/>
    <s v="Non-Travel"/>
    <n v="427"/>
    <x v="1"/>
    <n v="8"/>
    <n v="3"/>
    <s v="Life Sciences"/>
    <n v="1"/>
    <n v="742"/>
    <n v="1"/>
    <s v="Female"/>
    <n v="63"/>
    <n v="4"/>
    <n v="3"/>
    <x v="7"/>
    <n v="1"/>
    <s v="Married"/>
    <n v="11713"/>
    <n v="20335"/>
    <n v="9"/>
    <s v="Y"/>
    <x v="1"/>
    <n v="14"/>
    <n v="3"/>
    <n v="1"/>
    <n v="80"/>
    <n v="1"/>
    <n v="10"/>
    <n v="2"/>
    <n v="3"/>
    <n v="8"/>
    <n v="7"/>
    <n v="0"/>
    <n v="5"/>
    <x v="1"/>
    <x v="1"/>
    <x v="2"/>
  </r>
  <r>
    <n v="38"/>
    <x v="1"/>
    <s v="Travel_Rarely"/>
    <n v="168"/>
    <x v="1"/>
    <n v="1"/>
    <n v="3"/>
    <s v="Life Sciences"/>
    <n v="1"/>
    <n v="743"/>
    <n v="3"/>
    <s v="Female"/>
    <n v="81"/>
    <n v="3"/>
    <n v="3"/>
    <x v="3"/>
    <n v="3"/>
    <s v="Single"/>
    <n v="7861"/>
    <n v="15397"/>
    <n v="4"/>
    <s v="Y"/>
    <x v="0"/>
    <n v="14"/>
    <n v="3"/>
    <n v="4"/>
    <n v="80"/>
    <n v="0"/>
    <n v="10"/>
    <n v="4"/>
    <n v="4"/>
    <n v="1"/>
    <n v="0"/>
    <n v="0"/>
    <n v="0"/>
    <x v="1"/>
    <x v="1"/>
    <x v="2"/>
  </r>
  <r>
    <n v="44"/>
    <x v="1"/>
    <s v="Non-Travel"/>
    <n v="381"/>
    <x v="1"/>
    <n v="24"/>
    <n v="3"/>
    <s v="Medical"/>
    <n v="1"/>
    <n v="744"/>
    <n v="1"/>
    <s v="Male"/>
    <n v="49"/>
    <n v="1"/>
    <n v="1"/>
    <x v="2"/>
    <n v="3"/>
    <s v="Single"/>
    <n v="3708"/>
    <n v="2104"/>
    <n v="2"/>
    <s v="Y"/>
    <x v="1"/>
    <n v="14"/>
    <n v="3"/>
    <n v="3"/>
    <n v="80"/>
    <n v="0"/>
    <n v="9"/>
    <n v="5"/>
    <n v="3"/>
    <n v="5"/>
    <n v="2"/>
    <n v="1"/>
    <n v="4"/>
    <x v="1"/>
    <x v="0"/>
    <x v="0"/>
  </r>
  <r>
    <n v="47"/>
    <x v="1"/>
    <s v="Travel_Frequently"/>
    <n v="217"/>
    <x v="0"/>
    <n v="3"/>
    <n v="3"/>
    <s v="Medical"/>
    <n v="1"/>
    <n v="746"/>
    <n v="4"/>
    <s v="Female"/>
    <n v="49"/>
    <n v="3"/>
    <n v="4"/>
    <x v="0"/>
    <n v="3"/>
    <s v="Divorced"/>
    <n v="13770"/>
    <n v="10225"/>
    <n v="9"/>
    <s v="Y"/>
    <x v="0"/>
    <n v="12"/>
    <n v="3"/>
    <n v="4"/>
    <n v="80"/>
    <n v="2"/>
    <n v="28"/>
    <n v="2"/>
    <n v="2"/>
    <n v="22"/>
    <n v="2"/>
    <n v="11"/>
    <n v="13"/>
    <x v="1"/>
    <x v="0"/>
    <x v="2"/>
  </r>
  <r>
    <n v="30"/>
    <x v="1"/>
    <s v="Travel_Rarely"/>
    <n v="501"/>
    <x v="0"/>
    <n v="27"/>
    <n v="5"/>
    <s v="Marketing"/>
    <n v="1"/>
    <n v="747"/>
    <n v="3"/>
    <s v="Male"/>
    <n v="99"/>
    <n v="3"/>
    <n v="2"/>
    <x v="0"/>
    <n v="4"/>
    <s v="Divorced"/>
    <n v="5304"/>
    <n v="25275"/>
    <n v="7"/>
    <s v="Y"/>
    <x v="1"/>
    <n v="23"/>
    <n v="4"/>
    <n v="4"/>
    <n v="80"/>
    <n v="1"/>
    <n v="10"/>
    <n v="2"/>
    <n v="2"/>
    <n v="8"/>
    <n v="7"/>
    <n v="7"/>
    <n v="7"/>
    <x v="1"/>
    <x v="1"/>
    <x v="0"/>
  </r>
  <r>
    <n v="29"/>
    <x v="1"/>
    <s v="Travel_Rarely"/>
    <n v="1396"/>
    <x v="0"/>
    <n v="10"/>
    <n v="3"/>
    <s v="Life Sciences"/>
    <n v="1"/>
    <n v="749"/>
    <n v="3"/>
    <s v="Male"/>
    <n v="99"/>
    <n v="3"/>
    <n v="1"/>
    <x v="6"/>
    <n v="3"/>
    <s v="Single"/>
    <n v="2642"/>
    <n v="2755"/>
    <n v="1"/>
    <s v="Y"/>
    <x v="1"/>
    <n v="11"/>
    <n v="3"/>
    <n v="3"/>
    <n v="80"/>
    <n v="0"/>
    <n v="1"/>
    <n v="6"/>
    <n v="3"/>
    <n v="1"/>
    <n v="0"/>
    <n v="0"/>
    <n v="0"/>
    <x v="1"/>
    <x v="2"/>
    <x v="1"/>
  </r>
  <r>
    <n v="42"/>
    <x v="0"/>
    <s v="Travel_Frequently"/>
    <n v="933"/>
    <x v="1"/>
    <n v="19"/>
    <n v="3"/>
    <s v="Medical"/>
    <n v="1"/>
    <n v="752"/>
    <n v="3"/>
    <s v="Male"/>
    <n v="57"/>
    <n v="4"/>
    <n v="1"/>
    <x v="1"/>
    <n v="3"/>
    <s v="Divorced"/>
    <n v="2759"/>
    <n v="20366"/>
    <n v="6"/>
    <s v="Y"/>
    <x v="0"/>
    <n v="12"/>
    <n v="3"/>
    <n v="4"/>
    <n v="80"/>
    <n v="0"/>
    <n v="7"/>
    <n v="2"/>
    <n v="3"/>
    <n v="2"/>
    <n v="2"/>
    <n v="2"/>
    <n v="2"/>
    <x v="0"/>
    <x v="0"/>
    <x v="1"/>
  </r>
  <r>
    <n v="43"/>
    <x v="1"/>
    <s v="Travel_Frequently"/>
    <n v="775"/>
    <x v="0"/>
    <n v="15"/>
    <n v="3"/>
    <s v="Life Sciences"/>
    <n v="1"/>
    <n v="754"/>
    <n v="4"/>
    <s v="Male"/>
    <n v="47"/>
    <n v="2"/>
    <n v="2"/>
    <x v="0"/>
    <n v="4"/>
    <s v="Married"/>
    <n v="6804"/>
    <n v="23683"/>
    <n v="3"/>
    <s v="Y"/>
    <x v="1"/>
    <n v="18"/>
    <n v="3"/>
    <n v="3"/>
    <n v="80"/>
    <n v="1"/>
    <n v="7"/>
    <n v="5"/>
    <n v="3"/>
    <n v="2"/>
    <n v="2"/>
    <n v="2"/>
    <n v="2"/>
    <x v="1"/>
    <x v="0"/>
    <x v="0"/>
  </r>
  <r>
    <n v="34"/>
    <x v="1"/>
    <s v="Travel_Rarely"/>
    <n v="970"/>
    <x v="1"/>
    <n v="8"/>
    <n v="2"/>
    <s v="Medical"/>
    <n v="1"/>
    <n v="757"/>
    <n v="2"/>
    <s v="Female"/>
    <n v="96"/>
    <n v="3"/>
    <n v="2"/>
    <x v="4"/>
    <n v="3"/>
    <s v="Single"/>
    <n v="6142"/>
    <n v="7360"/>
    <n v="3"/>
    <s v="Y"/>
    <x v="1"/>
    <n v="11"/>
    <n v="3"/>
    <n v="4"/>
    <n v="80"/>
    <n v="0"/>
    <n v="10"/>
    <n v="2"/>
    <n v="3"/>
    <n v="5"/>
    <n v="1"/>
    <n v="4"/>
    <n v="3"/>
    <x v="1"/>
    <x v="1"/>
    <x v="0"/>
  </r>
  <r>
    <n v="23"/>
    <x v="1"/>
    <s v="Travel_Rarely"/>
    <n v="650"/>
    <x v="1"/>
    <n v="9"/>
    <n v="1"/>
    <s v="Medical"/>
    <n v="1"/>
    <n v="758"/>
    <n v="2"/>
    <s v="Male"/>
    <n v="37"/>
    <n v="3"/>
    <n v="1"/>
    <x v="2"/>
    <n v="1"/>
    <s v="Married"/>
    <n v="2500"/>
    <n v="4344"/>
    <n v="1"/>
    <s v="Y"/>
    <x v="1"/>
    <n v="14"/>
    <n v="3"/>
    <n v="4"/>
    <n v="80"/>
    <n v="1"/>
    <n v="5"/>
    <n v="2"/>
    <n v="4"/>
    <n v="4"/>
    <n v="3"/>
    <n v="0"/>
    <n v="2"/>
    <x v="1"/>
    <x v="2"/>
    <x v="1"/>
  </r>
  <r>
    <n v="39"/>
    <x v="1"/>
    <s v="Travel_Rarely"/>
    <n v="141"/>
    <x v="2"/>
    <n v="3"/>
    <n v="3"/>
    <s v="Human Resources"/>
    <n v="1"/>
    <n v="760"/>
    <n v="3"/>
    <s v="Female"/>
    <n v="44"/>
    <n v="4"/>
    <n v="2"/>
    <x v="8"/>
    <n v="2"/>
    <s v="Married"/>
    <n v="6389"/>
    <n v="18767"/>
    <n v="9"/>
    <s v="Y"/>
    <x v="1"/>
    <n v="15"/>
    <n v="3"/>
    <n v="3"/>
    <n v="80"/>
    <n v="1"/>
    <n v="12"/>
    <n v="3"/>
    <n v="1"/>
    <n v="8"/>
    <n v="3"/>
    <n v="3"/>
    <n v="6"/>
    <x v="1"/>
    <x v="1"/>
    <x v="0"/>
  </r>
  <r>
    <n v="56"/>
    <x v="1"/>
    <s v="Travel_Rarely"/>
    <n v="832"/>
    <x v="1"/>
    <n v="9"/>
    <n v="3"/>
    <s v="Medical"/>
    <n v="1"/>
    <n v="762"/>
    <n v="3"/>
    <s v="Male"/>
    <n v="81"/>
    <n v="3"/>
    <n v="4"/>
    <x v="4"/>
    <n v="4"/>
    <s v="Married"/>
    <n v="11103"/>
    <n v="20420"/>
    <n v="7"/>
    <s v="Y"/>
    <x v="1"/>
    <n v="11"/>
    <n v="3"/>
    <n v="3"/>
    <n v="80"/>
    <n v="0"/>
    <n v="30"/>
    <n v="1"/>
    <n v="2"/>
    <n v="10"/>
    <n v="7"/>
    <n v="1"/>
    <n v="1"/>
    <x v="1"/>
    <x v="3"/>
    <x v="2"/>
  </r>
  <r>
    <n v="40"/>
    <x v="1"/>
    <s v="Travel_Rarely"/>
    <n v="804"/>
    <x v="1"/>
    <n v="2"/>
    <n v="1"/>
    <s v="Medical"/>
    <n v="1"/>
    <n v="763"/>
    <n v="4"/>
    <s v="Female"/>
    <n v="86"/>
    <n v="2"/>
    <n v="1"/>
    <x v="1"/>
    <n v="4"/>
    <s v="Single"/>
    <n v="2342"/>
    <n v="22929"/>
    <n v="0"/>
    <s v="Y"/>
    <x v="0"/>
    <n v="20"/>
    <n v="4"/>
    <n v="4"/>
    <n v="80"/>
    <n v="0"/>
    <n v="5"/>
    <n v="2"/>
    <n v="2"/>
    <n v="4"/>
    <n v="2"/>
    <n v="2"/>
    <n v="3"/>
    <x v="1"/>
    <x v="0"/>
    <x v="1"/>
  </r>
  <r>
    <n v="27"/>
    <x v="1"/>
    <s v="Travel_Rarely"/>
    <n v="975"/>
    <x v="1"/>
    <n v="7"/>
    <n v="3"/>
    <s v="Medical"/>
    <n v="1"/>
    <n v="764"/>
    <n v="4"/>
    <s v="Female"/>
    <n v="55"/>
    <n v="2"/>
    <n v="2"/>
    <x v="4"/>
    <n v="1"/>
    <s v="Single"/>
    <n v="6811"/>
    <n v="23398"/>
    <n v="8"/>
    <s v="Y"/>
    <x v="1"/>
    <n v="19"/>
    <n v="3"/>
    <n v="1"/>
    <n v="80"/>
    <n v="0"/>
    <n v="9"/>
    <n v="2"/>
    <n v="1"/>
    <n v="7"/>
    <n v="6"/>
    <n v="0"/>
    <n v="7"/>
    <x v="1"/>
    <x v="2"/>
    <x v="0"/>
  </r>
  <r>
    <n v="29"/>
    <x v="1"/>
    <s v="Travel_Rarely"/>
    <n v="1090"/>
    <x v="0"/>
    <n v="10"/>
    <n v="3"/>
    <s v="Marketing"/>
    <n v="1"/>
    <n v="766"/>
    <n v="4"/>
    <s v="Male"/>
    <n v="83"/>
    <n v="3"/>
    <n v="1"/>
    <x v="6"/>
    <n v="2"/>
    <s v="Divorced"/>
    <n v="2297"/>
    <n v="17967"/>
    <n v="1"/>
    <s v="Y"/>
    <x v="1"/>
    <n v="14"/>
    <n v="3"/>
    <n v="4"/>
    <n v="80"/>
    <n v="2"/>
    <n v="2"/>
    <n v="2"/>
    <n v="3"/>
    <n v="2"/>
    <n v="2"/>
    <n v="2"/>
    <n v="2"/>
    <x v="1"/>
    <x v="2"/>
    <x v="1"/>
  </r>
  <r>
    <n v="53"/>
    <x v="1"/>
    <s v="Travel_Rarely"/>
    <n v="346"/>
    <x v="1"/>
    <n v="6"/>
    <n v="3"/>
    <s v="Life Sciences"/>
    <n v="1"/>
    <n v="769"/>
    <n v="4"/>
    <s v="Male"/>
    <n v="86"/>
    <n v="3"/>
    <n v="2"/>
    <x v="2"/>
    <n v="4"/>
    <s v="Single"/>
    <n v="2450"/>
    <n v="10919"/>
    <n v="2"/>
    <s v="Y"/>
    <x v="1"/>
    <n v="17"/>
    <n v="3"/>
    <n v="4"/>
    <n v="80"/>
    <n v="0"/>
    <n v="19"/>
    <n v="4"/>
    <n v="3"/>
    <n v="2"/>
    <n v="2"/>
    <n v="2"/>
    <n v="2"/>
    <x v="1"/>
    <x v="3"/>
    <x v="1"/>
  </r>
  <r>
    <n v="35"/>
    <x v="1"/>
    <s v="Non-Travel"/>
    <n v="1225"/>
    <x v="1"/>
    <n v="2"/>
    <n v="4"/>
    <s v="Life Sciences"/>
    <n v="1"/>
    <n v="771"/>
    <n v="4"/>
    <s v="Female"/>
    <n v="61"/>
    <n v="3"/>
    <n v="2"/>
    <x v="4"/>
    <n v="1"/>
    <s v="Divorced"/>
    <n v="5093"/>
    <n v="4761"/>
    <n v="2"/>
    <s v="Y"/>
    <x v="1"/>
    <n v="11"/>
    <n v="3"/>
    <n v="1"/>
    <n v="80"/>
    <n v="1"/>
    <n v="16"/>
    <n v="2"/>
    <n v="4"/>
    <n v="1"/>
    <n v="0"/>
    <n v="0"/>
    <n v="0"/>
    <x v="1"/>
    <x v="1"/>
    <x v="0"/>
  </r>
  <r>
    <n v="32"/>
    <x v="1"/>
    <s v="Travel_Frequently"/>
    <n v="430"/>
    <x v="1"/>
    <n v="24"/>
    <n v="4"/>
    <s v="Life Sciences"/>
    <n v="1"/>
    <n v="772"/>
    <n v="1"/>
    <s v="Male"/>
    <n v="80"/>
    <n v="3"/>
    <n v="2"/>
    <x v="2"/>
    <n v="4"/>
    <s v="Married"/>
    <n v="5309"/>
    <n v="21146"/>
    <n v="1"/>
    <s v="Y"/>
    <x v="1"/>
    <n v="15"/>
    <n v="3"/>
    <n v="4"/>
    <n v="80"/>
    <n v="2"/>
    <n v="10"/>
    <n v="2"/>
    <n v="3"/>
    <n v="10"/>
    <n v="8"/>
    <n v="4"/>
    <n v="7"/>
    <x v="1"/>
    <x v="1"/>
    <x v="0"/>
  </r>
  <r>
    <n v="38"/>
    <x v="1"/>
    <s v="Travel_Rarely"/>
    <n v="268"/>
    <x v="1"/>
    <n v="2"/>
    <n v="5"/>
    <s v="Medical"/>
    <n v="1"/>
    <n v="773"/>
    <n v="4"/>
    <s v="Male"/>
    <n v="92"/>
    <n v="3"/>
    <n v="1"/>
    <x v="1"/>
    <n v="3"/>
    <s v="Married"/>
    <n v="3057"/>
    <n v="20471"/>
    <n v="6"/>
    <s v="Y"/>
    <x v="0"/>
    <n v="13"/>
    <n v="3"/>
    <n v="2"/>
    <n v="80"/>
    <n v="1"/>
    <n v="6"/>
    <n v="0"/>
    <n v="1"/>
    <n v="1"/>
    <n v="0"/>
    <n v="0"/>
    <n v="1"/>
    <x v="1"/>
    <x v="1"/>
    <x v="0"/>
  </r>
  <r>
    <n v="34"/>
    <x v="1"/>
    <s v="Travel_Rarely"/>
    <n v="167"/>
    <x v="1"/>
    <n v="8"/>
    <n v="5"/>
    <s v="Life Sciences"/>
    <n v="1"/>
    <n v="775"/>
    <n v="2"/>
    <s v="Female"/>
    <n v="32"/>
    <n v="3"/>
    <n v="2"/>
    <x v="3"/>
    <n v="1"/>
    <s v="Divorced"/>
    <n v="5121"/>
    <n v="4187"/>
    <n v="3"/>
    <s v="Y"/>
    <x v="1"/>
    <n v="14"/>
    <n v="3"/>
    <n v="3"/>
    <n v="80"/>
    <n v="1"/>
    <n v="7"/>
    <n v="3"/>
    <n v="3"/>
    <n v="0"/>
    <n v="0"/>
    <n v="0"/>
    <n v="0"/>
    <x v="1"/>
    <x v="1"/>
    <x v="0"/>
  </r>
  <r>
    <n v="52"/>
    <x v="1"/>
    <s v="Travel_Rarely"/>
    <n v="621"/>
    <x v="0"/>
    <n v="3"/>
    <n v="4"/>
    <s v="Marketing"/>
    <n v="1"/>
    <n v="776"/>
    <n v="3"/>
    <s v="Male"/>
    <n v="31"/>
    <n v="2"/>
    <n v="4"/>
    <x v="5"/>
    <n v="1"/>
    <s v="Married"/>
    <n v="16856"/>
    <n v="10084"/>
    <n v="1"/>
    <s v="Y"/>
    <x v="1"/>
    <n v="11"/>
    <n v="3"/>
    <n v="1"/>
    <n v="80"/>
    <n v="0"/>
    <n v="34"/>
    <n v="3"/>
    <n v="4"/>
    <n v="34"/>
    <n v="6"/>
    <n v="1"/>
    <n v="16"/>
    <x v="1"/>
    <x v="3"/>
    <x v="2"/>
  </r>
  <r>
    <n v="33"/>
    <x v="0"/>
    <s v="Travel_Rarely"/>
    <n v="527"/>
    <x v="1"/>
    <n v="1"/>
    <n v="4"/>
    <s v="Other"/>
    <n v="1"/>
    <n v="780"/>
    <n v="4"/>
    <s v="Male"/>
    <n v="63"/>
    <n v="3"/>
    <n v="1"/>
    <x v="1"/>
    <n v="4"/>
    <s v="Single"/>
    <n v="2686"/>
    <n v="5207"/>
    <n v="1"/>
    <s v="Y"/>
    <x v="0"/>
    <n v="13"/>
    <n v="3"/>
    <n v="3"/>
    <n v="80"/>
    <n v="0"/>
    <n v="10"/>
    <n v="2"/>
    <n v="2"/>
    <n v="10"/>
    <n v="9"/>
    <n v="7"/>
    <n v="8"/>
    <x v="0"/>
    <x v="1"/>
    <x v="1"/>
  </r>
  <r>
    <n v="25"/>
    <x v="1"/>
    <s v="Travel_Rarely"/>
    <n v="883"/>
    <x v="0"/>
    <n v="26"/>
    <n v="1"/>
    <s v="Medical"/>
    <n v="1"/>
    <n v="781"/>
    <n v="3"/>
    <s v="Female"/>
    <n v="32"/>
    <n v="3"/>
    <n v="2"/>
    <x v="0"/>
    <n v="4"/>
    <s v="Single"/>
    <n v="6180"/>
    <n v="22807"/>
    <n v="1"/>
    <s v="Y"/>
    <x v="1"/>
    <n v="23"/>
    <n v="4"/>
    <n v="2"/>
    <n v="80"/>
    <n v="0"/>
    <n v="6"/>
    <n v="5"/>
    <n v="2"/>
    <n v="6"/>
    <n v="5"/>
    <n v="1"/>
    <n v="4"/>
    <x v="1"/>
    <x v="2"/>
    <x v="0"/>
  </r>
  <r>
    <n v="45"/>
    <x v="1"/>
    <s v="Travel_Rarely"/>
    <n v="954"/>
    <x v="0"/>
    <n v="2"/>
    <n v="2"/>
    <s v="Technical Degree"/>
    <n v="1"/>
    <n v="783"/>
    <n v="2"/>
    <s v="Male"/>
    <n v="46"/>
    <n v="1"/>
    <n v="2"/>
    <x v="6"/>
    <n v="3"/>
    <s v="Single"/>
    <n v="6632"/>
    <n v="12388"/>
    <n v="0"/>
    <s v="Y"/>
    <x v="1"/>
    <n v="13"/>
    <n v="3"/>
    <n v="1"/>
    <n v="80"/>
    <n v="0"/>
    <n v="9"/>
    <n v="3"/>
    <n v="3"/>
    <n v="8"/>
    <n v="7"/>
    <n v="3"/>
    <n v="1"/>
    <x v="1"/>
    <x v="0"/>
    <x v="0"/>
  </r>
  <r>
    <n v="23"/>
    <x v="1"/>
    <s v="Travel_Rarely"/>
    <n v="310"/>
    <x v="1"/>
    <n v="10"/>
    <n v="1"/>
    <s v="Medical"/>
    <n v="1"/>
    <n v="784"/>
    <n v="1"/>
    <s v="Male"/>
    <n v="79"/>
    <n v="4"/>
    <n v="1"/>
    <x v="1"/>
    <n v="3"/>
    <s v="Single"/>
    <n v="3505"/>
    <n v="19630"/>
    <n v="1"/>
    <s v="Y"/>
    <x v="1"/>
    <n v="18"/>
    <n v="3"/>
    <n v="4"/>
    <n v="80"/>
    <n v="0"/>
    <n v="2"/>
    <n v="3"/>
    <n v="3"/>
    <n v="2"/>
    <n v="2"/>
    <n v="0"/>
    <n v="2"/>
    <x v="1"/>
    <x v="2"/>
    <x v="0"/>
  </r>
  <r>
    <n v="47"/>
    <x v="0"/>
    <s v="Travel_Frequently"/>
    <n v="719"/>
    <x v="0"/>
    <n v="27"/>
    <n v="2"/>
    <s v="Life Sciences"/>
    <n v="1"/>
    <n v="785"/>
    <n v="2"/>
    <s v="Female"/>
    <n v="77"/>
    <n v="4"/>
    <n v="2"/>
    <x v="0"/>
    <n v="3"/>
    <s v="Single"/>
    <n v="6397"/>
    <n v="10339"/>
    <n v="4"/>
    <s v="Y"/>
    <x v="0"/>
    <n v="12"/>
    <n v="3"/>
    <n v="4"/>
    <n v="80"/>
    <n v="0"/>
    <n v="8"/>
    <n v="2"/>
    <n v="3"/>
    <n v="5"/>
    <n v="4"/>
    <n v="1"/>
    <n v="3"/>
    <x v="0"/>
    <x v="0"/>
    <x v="0"/>
  </r>
  <r>
    <n v="34"/>
    <x v="1"/>
    <s v="Travel_Rarely"/>
    <n v="304"/>
    <x v="0"/>
    <n v="2"/>
    <n v="3"/>
    <s v="Other"/>
    <n v="1"/>
    <n v="786"/>
    <n v="4"/>
    <s v="Male"/>
    <n v="60"/>
    <n v="3"/>
    <n v="2"/>
    <x v="0"/>
    <n v="4"/>
    <s v="Single"/>
    <n v="6274"/>
    <n v="18686"/>
    <n v="1"/>
    <s v="Y"/>
    <x v="1"/>
    <n v="22"/>
    <n v="4"/>
    <n v="3"/>
    <n v="80"/>
    <n v="0"/>
    <n v="6"/>
    <n v="5"/>
    <n v="3"/>
    <n v="6"/>
    <n v="5"/>
    <n v="1"/>
    <n v="4"/>
    <x v="1"/>
    <x v="1"/>
    <x v="0"/>
  </r>
  <r>
    <n v="55"/>
    <x v="0"/>
    <s v="Travel_Rarely"/>
    <n v="725"/>
    <x v="1"/>
    <n v="2"/>
    <n v="3"/>
    <s v="Medical"/>
    <n v="1"/>
    <n v="787"/>
    <n v="4"/>
    <s v="Male"/>
    <n v="78"/>
    <n v="3"/>
    <n v="5"/>
    <x v="5"/>
    <n v="1"/>
    <s v="Married"/>
    <n v="19859"/>
    <n v="21199"/>
    <n v="5"/>
    <s v="Y"/>
    <x v="0"/>
    <n v="13"/>
    <n v="3"/>
    <n v="4"/>
    <n v="80"/>
    <n v="1"/>
    <n v="24"/>
    <n v="2"/>
    <n v="3"/>
    <n v="5"/>
    <n v="2"/>
    <n v="1"/>
    <n v="4"/>
    <x v="0"/>
    <x v="3"/>
    <x v="2"/>
  </r>
  <r>
    <n v="36"/>
    <x v="1"/>
    <s v="Non-Travel"/>
    <n v="1434"/>
    <x v="0"/>
    <n v="8"/>
    <n v="4"/>
    <s v="Life Sciences"/>
    <n v="1"/>
    <n v="789"/>
    <n v="1"/>
    <s v="Male"/>
    <n v="76"/>
    <n v="2"/>
    <n v="3"/>
    <x v="0"/>
    <n v="1"/>
    <s v="Single"/>
    <n v="7587"/>
    <n v="14229"/>
    <n v="1"/>
    <s v="Y"/>
    <x v="1"/>
    <n v="15"/>
    <n v="3"/>
    <n v="2"/>
    <n v="80"/>
    <n v="0"/>
    <n v="10"/>
    <n v="1"/>
    <n v="3"/>
    <n v="10"/>
    <n v="7"/>
    <n v="0"/>
    <n v="9"/>
    <x v="1"/>
    <x v="1"/>
    <x v="2"/>
  </r>
  <r>
    <n v="52"/>
    <x v="1"/>
    <s v="Non-Travel"/>
    <n v="715"/>
    <x v="1"/>
    <n v="19"/>
    <n v="4"/>
    <s v="Medical"/>
    <n v="1"/>
    <n v="791"/>
    <n v="4"/>
    <s v="Male"/>
    <n v="41"/>
    <n v="3"/>
    <n v="1"/>
    <x v="1"/>
    <n v="4"/>
    <s v="Married"/>
    <n v="4258"/>
    <n v="26589"/>
    <n v="0"/>
    <s v="Y"/>
    <x v="1"/>
    <n v="18"/>
    <n v="3"/>
    <n v="1"/>
    <n v="80"/>
    <n v="1"/>
    <n v="5"/>
    <n v="3"/>
    <n v="3"/>
    <n v="4"/>
    <n v="3"/>
    <n v="1"/>
    <n v="2"/>
    <x v="1"/>
    <x v="3"/>
    <x v="0"/>
  </r>
  <r>
    <n v="26"/>
    <x v="1"/>
    <s v="Travel_Frequently"/>
    <n v="575"/>
    <x v="1"/>
    <n v="1"/>
    <n v="2"/>
    <s v="Life Sciences"/>
    <n v="1"/>
    <n v="792"/>
    <n v="1"/>
    <s v="Female"/>
    <n v="71"/>
    <n v="1"/>
    <n v="1"/>
    <x v="2"/>
    <n v="4"/>
    <s v="Divorced"/>
    <n v="4364"/>
    <n v="5288"/>
    <n v="3"/>
    <s v="Y"/>
    <x v="1"/>
    <n v="14"/>
    <n v="3"/>
    <n v="1"/>
    <n v="80"/>
    <n v="1"/>
    <n v="5"/>
    <n v="2"/>
    <n v="3"/>
    <n v="2"/>
    <n v="2"/>
    <n v="2"/>
    <n v="0"/>
    <x v="1"/>
    <x v="2"/>
    <x v="0"/>
  </r>
  <r>
    <n v="29"/>
    <x v="1"/>
    <s v="Travel_Rarely"/>
    <n v="657"/>
    <x v="1"/>
    <n v="27"/>
    <n v="3"/>
    <s v="Medical"/>
    <n v="1"/>
    <n v="793"/>
    <n v="2"/>
    <s v="Female"/>
    <n v="66"/>
    <n v="3"/>
    <n v="2"/>
    <x v="4"/>
    <n v="3"/>
    <s v="Married"/>
    <n v="4335"/>
    <n v="25549"/>
    <n v="4"/>
    <s v="Y"/>
    <x v="1"/>
    <n v="12"/>
    <n v="3"/>
    <n v="1"/>
    <n v="80"/>
    <n v="1"/>
    <n v="11"/>
    <n v="3"/>
    <n v="2"/>
    <n v="8"/>
    <n v="7"/>
    <n v="1"/>
    <n v="1"/>
    <x v="1"/>
    <x v="2"/>
    <x v="0"/>
  </r>
  <r>
    <n v="26"/>
    <x v="0"/>
    <s v="Travel_Rarely"/>
    <n v="1146"/>
    <x v="0"/>
    <n v="8"/>
    <n v="3"/>
    <s v="Technical Degree"/>
    <n v="1"/>
    <n v="796"/>
    <n v="4"/>
    <s v="Male"/>
    <n v="38"/>
    <n v="2"/>
    <n v="2"/>
    <x v="0"/>
    <n v="1"/>
    <s v="Single"/>
    <n v="5326"/>
    <n v="3064"/>
    <n v="6"/>
    <s v="Y"/>
    <x v="1"/>
    <n v="17"/>
    <n v="3"/>
    <n v="3"/>
    <n v="80"/>
    <n v="0"/>
    <n v="6"/>
    <n v="2"/>
    <n v="2"/>
    <n v="4"/>
    <n v="3"/>
    <n v="1"/>
    <n v="2"/>
    <x v="0"/>
    <x v="2"/>
    <x v="0"/>
  </r>
  <r>
    <n v="34"/>
    <x v="1"/>
    <s v="Travel_Rarely"/>
    <n v="182"/>
    <x v="1"/>
    <n v="1"/>
    <n v="4"/>
    <s v="Life Sciences"/>
    <n v="1"/>
    <n v="797"/>
    <n v="2"/>
    <s v="Female"/>
    <n v="72"/>
    <n v="4"/>
    <n v="1"/>
    <x v="1"/>
    <n v="4"/>
    <s v="Single"/>
    <n v="3280"/>
    <n v="13551"/>
    <n v="2"/>
    <s v="Y"/>
    <x v="1"/>
    <n v="16"/>
    <n v="3"/>
    <n v="3"/>
    <n v="80"/>
    <n v="0"/>
    <n v="10"/>
    <n v="2"/>
    <n v="3"/>
    <n v="4"/>
    <n v="2"/>
    <n v="1"/>
    <n v="3"/>
    <x v="1"/>
    <x v="1"/>
    <x v="0"/>
  </r>
  <r>
    <n v="54"/>
    <x v="1"/>
    <s v="Travel_Rarely"/>
    <n v="376"/>
    <x v="1"/>
    <n v="19"/>
    <n v="4"/>
    <s v="Medical"/>
    <n v="1"/>
    <n v="799"/>
    <n v="4"/>
    <s v="Female"/>
    <n v="95"/>
    <n v="3"/>
    <n v="2"/>
    <x v="3"/>
    <n v="1"/>
    <s v="Divorced"/>
    <n v="5485"/>
    <n v="22670"/>
    <n v="9"/>
    <s v="Y"/>
    <x v="0"/>
    <n v="11"/>
    <n v="3"/>
    <n v="2"/>
    <n v="80"/>
    <n v="2"/>
    <n v="9"/>
    <n v="4"/>
    <n v="3"/>
    <n v="5"/>
    <n v="3"/>
    <n v="1"/>
    <n v="4"/>
    <x v="1"/>
    <x v="3"/>
    <x v="0"/>
  </r>
  <r>
    <n v="27"/>
    <x v="1"/>
    <s v="Travel_Frequently"/>
    <n v="829"/>
    <x v="0"/>
    <n v="8"/>
    <n v="1"/>
    <s v="Marketing"/>
    <n v="1"/>
    <n v="800"/>
    <n v="3"/>
    <s v="Male"/>
    <n v="84"/>
    <n v="3"/>
    <n v="2"/>
    <x v="0"/>
    <n v="4"/>
    <s v="Married"/>
    <n v="4342"/>
    <n v="24008"/>
    <n v="0"/>
    <s v="Y"/>
    <x v="1"/>
    <n v="19"/>
    <n v="3"/>
    <n v="2"/>
    <n v="80"/>
    <n v="1"/>
    <n v="5"/>
    <n v="3"/>
    <n v="3"/>
    <n v="4"/>
    <n v="2"/>
    <n v="1"/>
    <n v="1"/>
    <x v="1"/>
    <x v="2"/>
    <x v="0"/>
  </r>
  <r>
    <n v="37"/>
    <x v="1"/>
    <s v="Travel_Rarely"/>
    <n v="571"/>
    <x v="1"/>
    <n v="10"/>
    <n v="1"/>
    <s v="Life Sciences"/>
    <n v="1"/>
    <n v="802"/>
    <n v="4"/>
    <s v="Female"/>
    <n v="82"/>
    <n v="3"/>
    <n v="1"/>
    <x v="1"/>
    <n v="1"/>
    <s v="Divorced"/>
    <n v="2782"/>
    <n v="19905"/>
    <n v="0"/>
    <s v="Y"/>
    <x v="0"/>
    <n v="13"/>
    <n v="3"/>
    <n v="2"/>
    <n v="80"/>
    <n v="2"/>
    <n v="6"/>
    <n v="3"/>
    <n v="2"/>
    <n v="5"/>
    <n v="3"/>
    <n v="4"/>
    <n v="3"/>
    <x v="1"/>
    <x v="1"/>
    <x v="1"/>
  </r>
  <r>
    <n v="38"/>
    <x v="1"/>
    <s v="Travel_Frequently"/>
    <n v="240"/>
    <x v="1"/>
    <n v="2"/>
    <n v="4"/>
    <s v="Life Sciences"/>
    <n v="1"/>
    <n v="803"/>
    <n v="1"/>
    <s v="Female"/>
    <n v="75"/>
    <n v="4"/>
    <n v="2"/>
    <x v="3"/>
    <n v="1"/>
    <s v="Single"/>
    <n v="5980"/>
    <n v="26085"/>
    <n v="6"/>
    <s v="Y"/>
    <x v="0"/>
    <n v="12"/>
    <n v="3"/>
    <n v="4"/>
    <n v="80"/>
    <n v="0"/>
    <n v="17"/>
    <n v="2"/>
    <n v="3"/>
    <n v="15"/>
    <n v="7"/>
    <n v="4"/>
    <n v="12"/>
    <x v="1"/>
    <x v="1"/>
    <x v="0"/>
  </r>
  <r>
    <n v="34"/>
    <x v="1"/>
    <s v="Travel_Rarely"/>
    <n v="121"/>
    <x v="1"/>
    <n v="2"/>
    <n v="4"/>
    <s v="Medical"/>
    <n v="1"/>
    <n v="804"/>
    <n v="3"/>
    <s v="Female"/>
    <n v="86"/>
    <n v="2"/>
    <n v="1"/>
    <x v="1"/>
    <n v="1"/>
    <s v="Single"/>
    <n v="4381"/>
    <n v="7530"/>
    <n v="1"/>
    <s v="Y"/>
    <x v="1"/>
    <n v="11"/>
    <n v="3"/>
    <n v="3"/>
    <n v="80"/>
    <n v="0"/>
    <n v="6"/>
    <n v="3"/>
    <n v="3"/>
    <n v="6"/>
    <n v="5"/>
    <n v="1"/>
    <n v="3"/>
    <x v="1"/>
    <x v="1"/>
    <x v="0"/>
  </r>
  <r>
    <n v="35"/>
    <x v="1"/>
    <s v="Travel_Rarely"/>
    <n v="384"/>
    <x v="0"/>
    <n v="8"/>
    <n v="4"/>
    <s v="Life Sciences"/>
    <n v="1"/>
    <n v="805"/>
    <n v="1"/>
    <s v="Female"/>
    <n v="72"/>
    <n v="3"/>
    <n v="1"/>
    <x v="6"/>
    <n v="4"/>
    <s v="Married"/>
    <n v="2572"/>
    <n v="20317"/>
    <n v="1"/>
    <s v="Y"/>
    <x v="1"/>
    <n v="16"/>
    <n v="3"/>
    <n v="2"/>
    <n v="80"/>
    <n v="1"/>
    <n v="3"/>
    <n v="1"/>
    <n v="2"/>
    <n v="3"/>
    <n v="2"/>
    <n v="0"/>
    <n v="2"/>
    <x v="1"/>
    <x v="1"/>
    <x v="1"/>
  </r>
  <r>
    <n v="30"/>
    <x v="1"/>
    <s v="Travel_Rarely"/>
    <n v="921"/>
    <x v="1"/>
    <n v="1"/>
    <n v="3"/>
    <s v="Life Sciences"/>
    <n v="1"/>
    <n v="806"/>
    <n v="4"/>
    <s v="Male"/>
    <n v="38"/>
    <n v="1"/>
    <n v="1"/>
    <x v="2"/>
    <n v="3"/>
    <s v="Married"/>
    <n v="3833"/>
    <n v="24375"/>
    <n v="3"/>
    <s v="Y"/>
    <x v="1"/>
    <n v="21"/>
    <n v="4"/>
    <n v="3"/>
    <n v="80"/>
    <n v="2"/>
    <n v="7"/>
    <n v="2"/>
    <n v="3"/>
    <n v="2"/>
    <n v="2"/>
    <n v="0"/>
    <n v="2"/>
    <x v="1"/>
    <x v="1"/>
    <x v="0"/>
  </r>
  <r>
    <n v="40"/>
    <x v="1"/>
    <s v="Travel_Frequently"/>
    <n v="791"/>
    <x v="1"/>
    <n v="2"/>
    <n v="2"/>
    <s v="Medical"/>
    <n v="1"/>
    <n v="807"/>
    <n v="3"/>
    <s v="Female"/>
    <n v="38"/>
    <n v="4"/>
    <n v="2"/>
    <x v="4"/>
    <n v="2"/>
    <s v="Married"/>
    <n v="4244"/>
    <n v="9931"/>
    <n v="1"/>
    <s v="Y"/>
    <x v="1"/>
    <n v="24"/>
    <n v="4"/>
    <n v="4"/>
    <n v="80"/>
    <n v="1"/>
    <n v="8"/>
    <n v="2"/>
    <n v="3"/>
    <n v="8"/>
    <n v="7"/>
    <n v="3"/>
    <n v="7"/>
    <x v="1"/>
    <x v="0"/>
    <x v="0"/>
  </r>
  <r>
    <n v="34"/>
    <x v="1"/>
    <s v="Travel_Rarely"/>
    <n v="1111"/>
    <x v="0"/>
    <n v="8"/>
    <n v="2"/>
    <s v="Life Sciences"/>
    <n v="1"/>
    <n v="808"/>
    <n v="3"/>
    <s v="Female"/>
    <n v="93"/>
    <n v="3"/>
    <n v="2"/>
    <x v="0"/>
    <n v="1"/>
    <s v="Married"/>
    <n v="6500"/>
    <n v="13305"/>
    <n v="5"/>
    <s v="Y"/>
    <x v="1"/>
    <n v="17"/>
    <n v="3"/>
    <n v="2"/>
    <n v="80"/>
    <n v="1"/>
    <n v="6"/>
    <n v="1"/>
    <n v="3"/>
    <n v="3"/>
    <n v="2"/>
    <n v="1"/>
    <n v="2"/>
    <x v="1"/>
    <x v="1"/>
    <x v="0"/>
  </r>
  <r>
    <n v="42"/>
    <x v="1"/>
    <s v="Travel_Frequently"/>
    <n v="570"/>
    <x v="1"/>
    <n v="8"/>
    <n v="3"/>
    <s v="Life Sciences"/>
    <n v="1"/>
    <n v="809"/>
    <n v="2"/>
    <s v="Male"/>
    <n v="66"/>
    <n v="3"/>
    <n v="5"/>
    <x v="5"/>
    <n v="4"/>
    <s v="Divorced"/>
    <n v="18430"/>
    <n v="16225"/>
    <n v="1"/>
    <s v="Y"/>
    <x v="1"/>
    <n v="13"/>
    <n v="3"/>
    <n v="2"/>
    <n v="80"/>
    <n v="1"/>
    <n v="24"/>
    <n v="4"/>
    <n v="2"/>
    <n v="24"/>
    <n v="7"/>
    <n v="14"/>
    <n v="9"/>
    <x v="1"/>
    <x v="0"/>
    <x v="2"/>
  </r>
  <r>
    <n v="23"/>
    <x v="0"/>
    <s v="Travel_Rarely"/>
    <n v="1243"/>
    <x v="1"/>
    <n v="6"/>
    <n v="3"/>
    <s v="Life Sciences"/>
    <n v="1"/>
    <n v="811"/>
    <n v="3"/>
    <s v="Male"/>
    <n v="63"/>
    <n v="4"/>
    <n v="1"/>
    <x v="2"/>
    <n v="1"/>
    <s v="Married"/>
    <n v="1601"/>
    <n v="3445"/>
    <n v="1"/>
    <s v="Y"/>
    <x v="0"/>
    <n v="21"/>
    <n v="4"/>
    <n v="3"/>
    <n v="80"/>
    <n v="2"/>
    <n v="1"/>
    <n v="2"/>
    <n v="3"/>
    <n v="0"/>
    <n v="0"/>
    <n v="0"/>
    <n v="0"/>
    <x v="0"/>
    <x v="2"/>
    <x v="1"/>
  </r>
  <r>
    <n v="24"/>
    <x v="1"/>
    <s v="Non-Travel"/>
    <n v="1092"/>
    <x v="1"/>
    <n v="9"/>
    <n v="3"/>
    <s v="Life Sciences"/>
    <n v="1"/>
    <n v="812"/>
    <n v="3"/>
    <s v="Male"/>
    <n v="60"/>
    <n v="2"/>
    <n v="1"/>
    <x v="2"/>
    <n v="2"/>
    <s v="Divorced"/>
    <n v="2694"/>
    <n v="26551"/>
    <n v="1"/>
    <s v="Y"/>
    <x v="1"/>
    <n v="11"/>
    <n v="3"/>
    <n v="3"/>
    <n v="80"/>
    <n v="3"/>
    <n v="1"/>
    <n v="4"/>
    <n v="3"/>
    <n v="1"/>
    <n v="0"/>
    <n v="0"/>
    <n v="0"/>
    <x v="1"/>
    <x v="2"/>
    <x v="1"/>
  </r>
  <r>
    <n v="52"/>
    <x v="1"/>
    <s v="Travel_Rarely"/>
    <n v="1325"/>
    <x v="1"/>
    <n v="11"/>
    <n v="4"/>
    <s v="Life Sciences"/>
    <n v="1"/>
    <n v="813"/>
    <n v="4"/>
    <s v="Female"/>
    <n v="82"/>
    <n v="3"/>
    <n v="2"/>
    <x v="2"/>
    <n v="3"/>
    <s v="Married"/>
    <n v="3149"/>
    <n v="21821"/>
    <n v="8"/>
    <s v="Y"/>
    <x v="1"/>
    <n v="20"/>
    <n v="4"/>
    <n v="2"/>
    <n v="80"/>
    <n v="1"/>
    <n v="9"/>
    <n v="3"/>
    <n v="3"/>
    <n v="5"/>
    <n v="2"/>
    <n v="1"/>
    <n v="4"/>
    <x v="1"/>
    <x v="3"/>
    <x v="0"/>
  </r>
  <r>
    <n v="50"/>
    <x v="1"/>
    <s v="Travel_Rarely"/>
    <n v="691"/>
    <x v="1"/>
    <n v="2"/>
    <n v="3"/>
    <s v="Medical"/>
    <n v="1"/>
    <n v="815"/>
    <n v="3"/>
    <s v="Male"/>
    <n v="64"/>
    <n v="3"/>
    <n v="4"/>
    <x v="7"/>
    <n v="3"/>
    <s v="Married"/>
    <n v="17639"/>
    <n v="6881"/>
    <n v="5"/>
    <s v="Y"/>
    <x v="1"/>
    <n v="16"/>
    <n v="3"/>
    <n v="4"/>
    <n v="80"/>
    <n v="0"/>
    <n v="30"/>
    <n v="3"/>
    <n v="3"/>
    <n v="4"/>
    <n v="3"/>
    <n v="0"/>
    <n v="3"/>
    <x v="1"/>
    <x v="3"/>
    <x v="2"/>
  </r>
  <r>
    <n v="29"/>
    <x v="0"/>
    <s v="Travel_Rarely"/>
    <n v="805"/>
    <x v="1"/>
    <n v="1"/>
    <n v="2"/>
    <s v="Life Sciences"/>
    <n v="1"/>
    <n v="816"/>
    <n v="2"/>
    <s v="Female"/>
    <n v="36"/>
    <n v="2"/>
    <n v="1"/>
    <x v="2"/>
    <n v="1"/>
    <s v="Married"/>
    <n v="2319"/>
    <n v="6689"/>
    <n v="1"/>
    <s v="Y"/>
    <x v="0"/>
    <n v="11"/>
    <n v="3"/>
    <n v="4"/>
    <n v="80"/>
    <n v="1"/>
    <n v="1"/>
    <n v="1"/>
    <n v="3"/>
    <n v="1"/>
    <n v="0"/>
    <n v="0"/>
    <n v="0"/>
    <x v="0"/>
    <x v="2"/>
    <x v="1"/>
  </r>
  <r>
    <n v="33"/>
    <x v="1"/>
    <s v="Travel_Rarely"/>
    <n v="213"/>
    <x v="1"/>
    <n v="7"/>
    <n v="3"/>
    <s v="Medical"/>
    <n v="1"/>
    <n v="817"/>
    <n v="3"/>
    <s v="Male"/>
    <n v="49"/>
    <n v="3"/>
    <n v="3"/>
    <x v="7"/>
    <n v="3"/>
    <s v="Married"/>
    <n v="11691"/>
    <n v="25995"/>
    <n v="0"/>
    <s v="Y"/>
    <x v="1"/>
    <n v="11"/>
    <n v="3"/>
    <n v="4"/>
    <n v="80"/>
    <n v="0"/>
    <n v="14"/>
    <n v="3"/>
    <n v="4"/>
    <n v="13"/>
    <n v="9"/>
    <n v="3"/>
    <n v="7"/>
    <x v="1"/>
    <x v="1"/>
    <x v="2"/>
  </r>
  <r>
    <n v="33"/>
    <x v="0"/>
    <s v="Travel_Rarely"/>
    <n v="118"/>
    <x v="0"/>
    <n v="16"/>
    <n v="3"/>
    <s v="Marketing"/>
    <n v="1"/>
    <n v="819"/>
    <n v="1"/>
    <s v="Female"/>
    <n v="69"/>
    <n v="3"/>
    <n v="2"/>
    <x v="0"/>
    <n v="1"/>
    <s v="Single"/>
    <n v="5324"/>
    <n v="26507"/>
    <n v="5"/>
    <s v="Y"/>
    <x v="1"/>
    <n v="15"/>
    <n v="3"/>
    <n v="3"/>
    <n v="80"/>
    <n v="0"/>
    <n v="6"/>
    <n v="3"/>
    <n v="3"/>
    <n v="3"/>
    <n v="2"/>
    <n v="0"/>
    <n v="2"/>
    <x v="0"/>
    <x v="1"/>
    <x v="0"/>
  </r>
  <r>
    <n v="47"/>
    <x v="1"/>
    <s v="Travel_Rarely"/>
    <n v="202"/>
    <x v="1"/>
    <n v="2"/>
    <n v="2"/>
    <s v="Other"/>
    <n v="1"/>
    <n v="820"/>
    <n v="3"/>
    <s v="Female"/>
    <n v="33"/>
    <n v="3"/>
    <n v="4"/>
    <x v="5"/>
    <n v="4"/>
    <s v="Married"/>
    <n v="16752"/>
    <n v="12982"/>
    <n v="1"/>
    <s v="Y"/>
    <x v="0"/>
    <n v="11"/>
    <n v="3"/>
    <n v="3"/>
    <n v="80"/>
    <n v="1"/>
    <n v="26"/>
    <n v="3"/>
    <n v="2"/>
    <n v="26"/>
    <n v="14"/>
    <n v="3"/>
    <n v="0"/>
    <x v="1"/>
    <x v="0"/>
    <x v="2"/>
  </r>
  <r>
    <n v="36"/>
    <x v="1"/>
    <s v="Travel_Rarely"/>
    <n v="676"/>
    <x v="1"/>
    <n v="1"/>
    <n v="3"/>
    <s v="Other"/>
    <n v="1"/>
    <n v="823"/>
    <n v="3"/>
    <s v="Female"/>
    <n v="35"/>
    <n v="3"/>
    <n v="2"/>
    <x v="3"/>
    <n v="2"/>
    <s v="Married"/>
    <n v="5228"/>
    <n v="23361"/>
    <n v="0"/>
    <s v="Y"/>
    <x v="1"/>
    <n v="15"/>
    <n v="3"/>
    <n v="1"/>
    <n v="80"/>
    <n v="1"/>
    <n v="10"/>
    <n v="2"/>
    <n v="3"/>
    <n v="9"/>
    <n v="7"/>
    <n v="0"/>
    <n v="5"/>
    <x v="1"/>
    <x v="1"/>
    <x v="0"/>
  </r>
  <r>
    <n v="29"/>
    <x v="1"/>
    <s v="Travel_Rarely"/>
    <n v="1252"/>
    <x v="1"/>
    <n v="23"/>
    <n v="2"/>
    <s v="Life Sciences"/>
    <n v="1"/>
    <n v="824"/>
    <n v="3"/>
    <s v="Male"/>
    <n v="81"/>
    <n v="4"/>
    <n v="1"/>
    <x v="1"/>
    <n v="3"/>
    <s v="Married"/>
    <n v="2700"/>
    <n v="23779"/>
    <n v="1"/>
    <s v="Y"/>
    <x v="1"/>
    <n v="24"/>
    <n v="4"/>
    <n v="3"/>
    <n v="80"/>
    <n v="1"/>
    <n v="10"/>
    <n v="3"/>
    <n v="3"/>
    <n v="10"/>
    <n v="7"/>
    <n v="0"/>
    <n v="7"/>
    <x v="1"/>
    <x v="2"/>
    <x v="1"/>
  </r>
  <r>
    <n v="58"/>
    <x v="0"/>
    <s v="Travel_Rarely"/>
    <n v="286"/>
    <x v="1"/>
    <n v="2"/>
    <n v="4"/>
    <s v="Life Sciences"/>
    <n v="1"/>
    <n v="825"/>
    <n v="4"/>
    <s v="Male"/>
    <n v="31"/>
    <n v="3"/>
    <n v="5"/>
    <x v="7"/>
    <n v="2"/>
    <s v="Single"/>
    <n v="19246"/>
    <n v="25761"/>
    <n v="7"/>
    <s v="Y"/>
    <x v="0"/>
    <n v="12"/>
    <n v="3"/>
    <n v="4"/>
    <n v="80"/>
    <n v="0"/>
    <n v="40"/>
    <n v="2"/>
    <n v="3"/>
    <n v="31"/>
    <n v="15"/>
    <n v="13"/>
    <n v="8"/>
    <x v="0"/>
    <x v="3"/>
    <x v="2"/>
  </r>
  <r>
    <n v="35"/>
    <x v="1"/>
    <s v="Travel_Rarely"/>
    <n v="1258"/>
    <x v="1"/>
    <n v="1"/>
    <n v="4"/>
    <s v="Life Sciences"/>
    <n v="1"/>
    <n v="826"/>
    <n v="4"/>
    <s v="Female"/>
    <n v="40"/>
    <n v="4"/>
    <n v="1"/>
    <x v="1"/>
    <n v="3"/>
    <s v="Single"/>
    <n v="2506"/>
    <n v="13301"/>
    <n v="3"/>
    <s v="Y"/>
    <x v="1"/>
    <n v="13"/>
    <n v="3"/>
    <n v="3"/>
    <n v="80"/>
    <n v="0"/>
    <n v="7"/>
    <n v="0"/>
    <n v="3"/>
    <n v="2"/>
    <n v="2"/>
    <n v="2"/>
    <n v="2"/>
    <x v="1"/>
    <x v="1"/>
    <x v="1"/>
  </r>
  <r>
    <n v="42"/>
    <x v="1"/>
    <s v="Travel_Rarely"/>
    <n v="932"/>
    <x v="1"/>
    <n v="1"/>
    <n v="2"/>
    <s v="Life Sciences"/>
    <n v="1"/>
    <n v="827"/>
    <n v="4"/>
    <s v="Female"/>
    <n v="43"/>
    <n v="2"/>
    <n v="2"/>
    <x v="3"/>
    <n v="4"/>
    <s v="Married"/>
    <n v="6062"/>
    <n v="4051"/>
    <n v="9"/>
    <s v="Y"/>
    <x v="0"/>
    <n v="13"/>
    <n v="3"/>
    <n v="4"/>
    <n v="80"/>
    <n v="1"/>
    <n v="8"/>
    <n v="4"/>
    <n v="3"/>
    <n v="4"/>
    <n v="3"/>
    <n v="0"/>
    <n v="2"/>
    <x v="1"/>
    <x v="0"/>
    <x v="0"/>
  </r>
  <r>
    <n v="28"/>
    <x v="0"/>
    <s v="Travel_Rarely"/>
    <n v="890"/>
    <x v="1"/>
    <n v="2"/>
    <n v="4"/>
    <s v="Medical"/>
    <n v="1"/>
    <n v="828"/>
    <n v="3"/>
    <s v="Male"/>
    <n v="46"/>
    <n v="3"/>
    <n v="1"/>
    <x v="1"/>
    <n v="3"/>
    <s v="Single"/>
    <n v="4382"/>
    <n v="16374"/>
    <n v="6"/>
    <s v="Y"/>
    <x v="1"/>
    <n v="17"/>
    <n v="3"/>
    <n v="4"/>
    <n v="80"/>
    <n v="0"/>
    <n v="5"/>
    <n v="3"/>
    <n v="2"/>
    <n v="2"/>
    <n v="2"/>
    <n v="2"/>
    <n v="1"/>
    <x v="0"/>
    <x v="2"/>
    <x v="0"/>
  </r>
  <r>
    <n v="36"/>
    <x v="1"/>
    <s v="Travel_Rarely"/>
    <n v="1041"/>
    <x v="2"/>
    <n v="13"/>
    <n v="3"/>
    <s v="Human Resources"/>
    <n v="1"/>
    <n v="829"/>
    <n v="3"/>
    <s v="Male"/>
    <n v="36"/>
    <n v="3"/>
    <n v="1"/>
    <x v="8"/>
    <n v="2"/>
    <s v="Married"/>
    <n v="2143"/>
    <n v="25527"/>
    <n v="4"/>
    <s v="Y"/>
    <x v="1"/>
    <n v="13"/>
    <n v="3"/>
    <n v="2"/>
    <n v="80"/>
    <n v="1"/>
    <n v="8"/>
    <n v="2"/>
    <n v="3"/>
    <n v="5"/>
    <n v="2"/>
    <n v="0"/>
    <n v="4"/>
    <x v="1"/>
    <x v="1"/>
    <x v="1"/>
  </r>
  <r>
    <n v="32"/>
    <x v="1"/>
    <s v="Travel_Rarely"/>
    <n v="859"/>
    <x v="1"/>
    <n v="4"/>
    <n v="3"/>
    <s v="Life Sciences"/>
    <n v="1"/>
    <n v="830"/>
    <n v="3"/>
    <s v="Female"/>
    <n v="98"/>
    <n v="2"/>
    <n v="2"/>
    <x v="3"/>
    <n v="3"/>
    <s v="Married"/>
    <n v="6162"/>
    <n v="19124"/>
    <n v="1"/>
    <s v="Y"/>
    <x v="1"/>
    <n v="12"/>
    <n v="3"/>
    <n v="3"/>
    <n v="80"/>
    <n v="1"/>
    <n v="14"/>
    <n v="3"/>
    <n v="3"/>
    <n v="14"/>
    <n v="13"/>
    <n v="6"/>
    <n v="8"/>
    <x v="1"/>
    <x v="1"/>
    <x v="0"/>
  </r>
  <r>
    <n v="40"/>
    <x v="1"/>
    <s v="Travel_Frequently"/>
    <n v="720"/>
    <x v="1"/>
    <n v="16"/>
    <n v="4"/>
    <s v="Medical"/>
    <n v="1"/>
    <n v="832"/>
    <n v="1"/>
    <s v="Male"/>
    <n v="51"/>
    <n v="2"/>
    <n v="2"/>
    <x v="2"/>
    <n v="3"/>
    <s v="Single"/>
    <n v="5094"/>
    <n v="11983"/>
    <n v="6"/>
    <s v="Y"/>
    <x v="1"/>
    <n v="14"/>
    <n v="3"/>
    <n v="4"/>
    <n v="80"/>
    <n v="0"/>
    <n v="10"/>
    <n v="6"/>
    <n v="3"/>
    <n v="1"/>
    <n v="0"/>
    <n v="0"/>
    <n v="0"/>
    <x v="1"/>
    <x v="0"/>
    <x v="0"/>
  </r>
  <r>
    <n v="30"/>
    <x v="1"/>
    <s v="Travel_Rarely"/>
    <n v="946"/>
    <x v="1"/>
    <n v="2"/>
    <n v="3"/>
    <s v="Medical"/>
    <n v="1"/>
    <n v="833"/>
    <n v="3"/>
    <s v="Female"/>
    <n v="52"/>
    <n v="2"/>
    <n v="2"/>
    <x v="3"/>
    <n v="4"/>
    <s v="Single"/>
    <n v="6877"/>
    <n v="20234"/>
    <n v="5"/>
    <s v="Y"/>
    <x v="0"/>
    <n v="24"/>
    <n v="4"/>
    <n v="2"/>
    <n v="80"/>
    <n v="0"/>
    <n v="12"/>
    <n v="4"/>
    <n v="2"/>
    <n v="0"/>
    <n v="0"/>
    <n v="0"/>
    <n v="0"/>
    <x v="1"/>
    <x v="1"/>
    <x v="0"/>
  </r>
  <r>
    <n v="45"/>
    <x v="1"/>
    <s v="Travel_Rarely"/>
    <n v="252"/>
    <x v="1"/>
    <n v="2"/>
    <n v="3"/>
    <s v="Life Sciences"/>
    <n v="1"/>
    <n v="834"/>
    <n v="2"/>
    <s v="Female"/>
    <n v="95"/>
    <n v="2"/>
    <n v="1"/>
    <x v="1"/>
    <n v="3"/>
    <s v="Single"/>
    <n v="2274"/>
    <n v="6153"/>
    <n v="1"/>
    <s v="Y"/>
    <x v="1"/>
    <n v="14"/>
    <n v="3"/>
    <n v="4"/>
    <n v="80"/>
    <n v="0"/>
    <n v="1"/>
    <n v="3"/>
    <n v="3"/>
    <n v="1"/>
    <n v="0"/>
    <n v="0"/>
    <n v="0"/>
    <x v="1"/>
    <x v="0"/>
    <x v="1"/>
  </r>
  <r>
    <n v="42"/>
    <x v="1"/>
    <s v="Travel_Rarely"/>
    <n v="933"/>
    <x v="1"/>
    <n v="29"/>
    <n v="3"/>
    <s v="Life Sciences"/>
    <n v="1"/>
    <n v="836"/>
    <n v="2"/>
    <s v="Male"/>
    <n v="98"/>
    <n v="3"/>
    <n v="2"/>
    <x v="3"/>
    <n v="2"/>
    <s v="Married"/>
    <n v="4434"/>
    <n v="11806"/>
    <n v="1"/>
    <s v="Y"/>
    <x v="1"/>
    <n v="13"/>
    <n v="3"/>
    <n v="4"/>
    <n v="80"/>
    <n v="1"/>
    <n v="10"/>
    <n v="3"/>
    <n v="2"/>
    <n v="9"/>
    <n v="8"/>
    <n v="7"/>
    <n v="8"/>
    <x v="1"/>
    <x v="0"/>
    <x v="0"/>
  </r>
  <r>
    <n v="38"/>
    <x v="1"/>
    <s v="Travel_Frequently"/>
    <n v="471"/>
    <x v="1"/>
    <n v="12"/>
    <n v="3"/>
    <s v="Life Sciences"/>
    <n v="1"/>
    <n v="837"/>
    <n v="1"/>
    <s v="Male"/>
    <n v="45"/>
    <n v="2"/>
    <n v="2"/>
    <x v="4"/>
    <n v="1"/>
    <s v="Divorced"/>
    <n v="6288"/>
    <n v="4284"/>
    <n v="2"/>
    <s v="Y"/>
    <x v="1"/>
    <n v="15"/>
    <n v="3"/>
    <n v="3"/>
    <n v="80"/>
    <n v="1"/>
    <n v="13"/>
    <n v="3"/>
    <n v="2"/>
    <n v="4"/>
    <n v="3"/>
    <n v="1"/>
    <n v="2"/>
    <x v="1"/>
    <x v="1"/>
    <x v="0"/>
  </r>
  <r>
    <n v="34"/>
    <x v="1"/>
    <s v="Travel_Frequently"/>
    <n v="702"/>
    <x v="1"/>
    <n v="16"/>
    <n v="4"/>
    <s v="Life Sciences"/>
    <n v="1"/>
    <n v="838"/>
    <n v="3"/>
    <s v="Female"/>
    <n v="100"/>
    <n v="2"/>
    <n v="1"/>
    <x v="1"/>
    <n v="4"/>
    <s v="Single"/>
    <n v="2553"/>
    <n v="8306"/>
    <n v="1"/>
    <s v="Y"/>
    <x v="1"/>
    <n v="16"/>
    <n v="3"/>
    <n v="3"/>
    <n v="80"/>
    <n v="0"/>
    <n v="6"/>
    <n v="3"/>
    <n v="3"/>
    <n v="5"/>
    <n v="2"/>
    <n v="1"/>
    <n v="3"/>
    <x v="1"/>
    <x v="1"/>
    <x v="1"/>
  </r>
  <r>
    <n v="49"/>
    <x v="0"/>
    <s v="Travel_Rarely"/>
    <n v="1184"/>
    <x v="0"/>
    <n v="11"/>
    <n v="3"/>
    <s v="Marketing"/>
    <n v="1"/>
    <n v="840"/>
    <n v="3"/>
    <s v="Female"/>
    <n v="43"/>
    <n v="3"/>
    <n v="3"/>
    <x v="0"/>
    <n v="4"/>
    <s v="Married"/>
    <n v="7654"/>
    <n v="5860"/>
    <n v="1"/>
    <s v="Y"/>
    <x v="1"/>
    <n v="18"/>
    <n v="3"/>
    <n v="1"/>
    <n v="80"/>
    <n v="2"/>
    <n v="9"/>
    <n v="3"/>
    <n v="4"/>
    <n v="9"/>
    <n v="8"/>
    <n v="7"/>
    <n v="7"/>
    <x v="0"/>
    <x v="0"/>
    <x v="2"/>
  </r>
  <r>
    <n v="55"/>
    <x v="0"/>
    <s v="Travel_Rarely"/>
    <n v="436"/>
    <x v="0"/>
    <n v="2"/>
    <n v="1"/>
    <s v="Medical"/>
    <n v="1"/>
    <n v="842"/>
    <n v="3"/>
    <s v="Male"/>
    <n v="37"/>
    <n v="3"/>
    <n v="2"/>
    <x v="0"/>
    <n v="4"/>
    <s v="Single"/>
    <n v="5160"/>
    <n v="21519"/>
    <n v="4"/>
    <s v="Y"/>
    <x v="1"/>
    <n v="16"/>
    <n v="3"/>
    <n v="3"/>
    <n v="80"/>
    <n v="0"/>
    <n v="12"/>
    <n v="3"/>
    <n v="2"/>
    <n v="9"/>
    <n v="7"/>
    <n v="7"/>
    <n v="3"/>
    <x v="0"/>
    <x v="3"/>
    <x v="0"/>
  </r>
  <r>
    <n v="43"/>
    <x v="1"/>
    <s v="Travel_Rarely"/>
    <n v="589"/>
    <x v="1"/>
    <n v="14"/>
    <n v="2"/>
    <s v="Life Sciences"/>
    <n v="1"/>
    <n v="843"/>
    <n v="2"/>
    <s v="Male"/>
    <n v="94"/>
    <n v="3"/>
    <n v="4"/>
    <x v="7"/>
    <n v="1"/>
    <s v="Married"/>
    <n v="17159"/>
    <n v="5200"/>
    <n v="6"/>
    <s v="Y"/>
    <x v="1"/>
    <n v="24"/>
    <n v="4"/>
    <n v="3"/>
    <n v="80"/>
    <n v="1"/>
    <n v="22"/>
    <n v="3"/>
    <n v="3"/>
    <n v="4"/>
    <n v="1"/>
    <n v="1"/>
    <n v="0"/>
    <x v="1"/>
    <x v="0"/>
    <x v="2"/>
  </r>
  <r>
    <n v="27"/>
    <x v="1"/>
    <s v="Travel_Rarely"/>
    <n v="269"/>
    <x v="1"/>
    <n v="5"/>
    <n v="1"/>
    <s v="Technical Degree"/>
    <n v="1"/>
    <n v="844"/>
    <n v="3"/>
    <s v="Male"/>
    <n v="42"/>
    <n v="2"/>
    <n v="3"/>
    <x v="7"/>
    <n v="4"/>
    <s v="Divorced"/>
    <n v="12808"/>
    <n v="8842"/>
    <n v="1"/>
    <s v="Y"/>
    <x v="0"/>
    <n v="16"/>
    <n v="3"/>
    <n v="2"/>
    <n v="80"/>
    <n v="1"/>
    <n v="9"/>
    <n v="3"/>
    <n v="3"/>
    <n v="9"/>
    <n v="8"/>
    <n v="0"/>
    <n v="8"/>
    <x v="1"/>
    <x v="2"/>
    <x v="2"/>
  </r>
  <r>
    <n v="35"/>
    <x v="1"/>
    <s v="Travel_Rarely"/>
    <n v="950"/>
    <x v="1"/>
    <n v="7"/>
    <n v="3"/>
    <s v="Other"/>
    <n v="1"/>
    <n v="845"/>
    <n v="3"/>
    <s v="Male"/>
    <n v="59"/>
    <n v="3"/>
    <n v="3"/>
    <x v="3"/>
    <n v="3"/>
    <s v="Single"/>
    <n v="10221"/>
    <n v="18869"/>
    <n v="3"/>
    <s v="Y"/>
    <x v="1"/>
    <n v="21"/>
    <n v="4"/>
    <n v="2"/>
    <n v="80"/>
    <n v="0"/>
    <n v="17"/>
    <n v="3"/>
    <n v="4"/>
    <n v="8"/>
    <n v="5"/>
    <n v="1"/>
    <n v="6"/>
    <x v="1"/>
    <x v="1"/>
    <x v="2"/>
  </r>
  <r>
    <n v="28"/>
    <x v="1"/>
    <s v="Travel_Rarely"/>
    <n v="760"/>
    <x v="0"/>
    <n v="2"/>
    <n v="4"/>
    <s v="Marketing"/>
    <n v="1"/>
    <n v="846"/>
    <n v="2"/>
    <s v="Female"/>
    <n v="81"/>
    <n v="3"/>
    <n v="2"/>
    <x v="0"/>
    <n v="2"/>
    <s v="Married"/>
    <n v="4779"/>
    <n v="3698"/>
    <n v="1"/>
    <s v="Y"/>
    <x v="0"/>
    <n v="20"/>
    <n v="4"/>
    <n v="1"/>
    <n v="80"/>
    <n v="0"/>
    <n v="8"/>
    <n v="2"/>
    <n v="3"/>
    <n v="8"/>
    <n v="7"/>
    <n v="7"/>
    <n v="5"/>
    <x v="1"/>
    <x v="2"/>
    <x v="0"/>
  </r>
  <r>
    <n v="34"/>
    <x v="1"/>
    <s v="Travel_Rarely"/>
    <n v="829"/>
    <x v="2"/>
    <n v="3"/>
    <n v="2"/>
    <s v="Human Resources"/>
    <n v="1"/>
    <n v="847"/>
    <n v="3"/>
    <s v="Male"/>
    <n v="88"/>
    <n v="3"/>
    <n v="1"/>
    <x v="8"/>
    <n v="4"/>
    <s v="Married"/>
    <n v="3737"/>
    <n v="2243"/>
    <n v="0"/>
    <s v="Y"/>
    <x v="1"/>
    <n v="19"/>
    <n v="3"/>
    <n v="3"/>
    <n v="80"/>
    <n v="1"/>
    <n v="4"/>
    <n v="1"/>
    <n v="1"/>
    <n v="3"/>
    <n v="2"/>
    <n v="0"/>
    <n v="2"/>
    <x v="1"/>
    <x v="1"/>
    <x v="0"/>
  </r>
  <r>
    <n v="26"/>
    <x v="0"/>
    <s v="Travel_Frequently"/>
    <n v="887"/>
    <x v="1"/>
    <n v="5"/>
    <n v="2"/>
    <s v="Medical"/>
    <n v="1"/>
    <n v="848"/>
    <n v="3"/>
    <s v="Female"/>
    <n v="88"/>
    <n v="2"/>
    <n v="1"/>
    <x v="1"/>
    <n v="3"/>
    <s v="Married"/>
    <n v="2366"/>
    <n v="20898"/>
    <n v="1"/>
    <s v="Y"/>
    <x v="0"/>
    <n v="14"/>
    <n v="3"/>
    <n v="1"/>
    <n v="80"/>
    <n v="1"/>
    <n v="8"/>
    <n v="2"/>
    <n v="3"/>
    <n v="8"/>
    <n v="7"/>
    <n v="1"/>
    <n v="7"/>
    <x v="0"/>
    <x v="2"/>
    <x v="1"/>
  </r>
  <r>
    <n v="27"/>
    <x v="1"/>
    <s v="Non-Travel"/>
    <n v="443"/>
    <x v="1"/>
    <n v="3"/>
    <n v="3"/>
    <s v="Medical"/>
    <n v="1"/>
    <n v="850"/>
    <n v="4"/>
    <s v="Male"/>
    <n v="50"/>
    <n v="3"/>
    <n v="1"/>
    <x v="1"/>
    <n v="4"/>
    <s v="Married"/>
    <n v="1706"/>
    <n v="16571"/>
    <n v="1"/>
    <s v="Y"/>
    <x v="1"/>
    <n v="11"/>
    <n v="3"/>
    <n v="3"/>
    <n v="80"/>
    <n v="3"/>
    <n v="0"/>
    <n v="6"/>
    <n v="2"/>
    <n v="0"/>
    <n v="0"/>
    <n v="0"/>
    <n v="0"/>
    <x v="1"/>
    <x v="2"/>
    <x v="1"/>
  </r>
  <r>
    <n v="51"/>
    <x v="1"/>
    <s v="Travel_Rarely"/>
    <n v="1318"/>
    <x v="0"/>
    <n v="26"/>
    <n v="4"/>
    <s v="Marketing"/>
    <n v="1"/>
    <n v="851"/>
    <n v="1"/>
    <s v="Female"/>
    <n v="66"/>
    <n v="3"/>
    <n v="4"/>
    <x v="5"/>
    <n v="3"/>
    <s v="Married"/>
    <n v="16307"/>
    <n v="5594"/>
    <n v="2"/>
    <s v="Y"/>
    <x v="1"/>
    <n v="14"/>
    <n v="3"/>
    <n v="3"/>
    <n v="80"/>
    <n v="1"/>
    <n v="29"/>
    <n v="2"/>
    <n v="2"/>
    <n v="20"/>
    <n v="6"/>
    <n v="4"/>
    <n v="17"/>
    <x v="1"/>
    <x v="3"/>
    <x v="2"/>
  </r>
  <r>
    <n v="44"/>
    <x v="1"/>
    <s v="Travel_Rarely"/>
    <n v="625"/>
    <x v="1"/>
    <n v="4"/>
    <n v="3"/>
    <s v="Medical"/>
    <n v="1"/>
    <n v="852"/>
    <n v="4"/>
    <s v="Male"/>
    <n v="50"/>
    <n v="3"/>
    <n v="2"/>
    <x v="4"/>
    <n v="2"/>
    <s v="Single"/>
    <n v="5933"/>
    <n v="5197"/>
    <n v="9"/>
    <s v="Y"/>
    <x v="1"/>
    <n v="12"/>
    <n v="3"/>
    <n v="4"/>
    <n v="80"/>
    <n v="0"/>
    <n v="10"/>
    <n v="2"/>
    <n v="2"/>
    <n v="5"/>
    <n v="2"/>
    <n v="2"/>
    <n v="3"/>
    <x v="1"/>
    <x v="0"/>
    <x v="0"/>
  </r>
  <r>
    <n v="25"/>
    <x v="1"/>
    <s v="Travel_Rarely"/>
    <n v="180"/>
    <x v="1"/>
    <n v="2"/>
    <n v="1"/>
    <s v="Medical"/>
    <n v="1"/>
    <n v="854"/>
    <n v="1"/>
    <s v="Male"/>
    <n v="65"/>
    <n v="4"/>
    <n v="1"/>
    <x v="1"/>
    <n v="1"/>
    <s v="Single"/>
    <n v="3424"/>
    <n v="21632"/>
    <n v="7"/>
    <s v="Y"/>
    <x v="1"/>
    <n v="13"/>
    <n v="3"/>
    <n v="3"/>
    <n v="80"/>
    <n v="0"/>
    <n v="6"/>
    <n v="3"/>
    <n v="2"/>
    <n v="4"/>
    <n v="3"/>
    <n v="0"/>
    <n v="1"/>
    <x v="1"/>
    <x v="2"/>
    <x v="0"/>
  </r>
  <r>
    <n v="33"/>
    <x v="1"/>
    <s v="Travel_Rarely"/>
    <n v="586"/>
    <x v="0"/>
    <n v="1"/>
    <n v="3"/>
    <s v="Medical"/>
    <n v="1"/>
    <n v="855"/>
    <n v="1"/>
    <s v="Male"/>
    <n v="48"/>
    <n v="4"/>
    <n v="2"/>
    <x v="0"/>
    <n v="1"/>
    <s v="Divorced"/>
    <n v="4037"/>
    <n v="21816"/>
    <n v="1"/>
    <s v="Y"/>
    <x v="1"/>
    <n v="22"/>
    <n v="4"/>
    <n v="1"/>
    <n v="80"/>
    <n v="1"/>
    <n v="9"/>
    <n v="5"/>
    <n v="3"/>
    <n v="9"/>
    <n v="8"/>
    <n v="0"/>
    <n v="8"/>
    <x v="1"/>
    <x v="1"/>
    <x v="0"/>
  </r>
  <r>
    <n v="35"/>
    <x v="1"/>
    <s v="Travel_Rarely"/>
    <n v="1343"/>
    <x v="1"/>
    <n v="27"/>
    <n v="1"/>
    <s v="Medical"/>
    <n v="1"/>
    <n v="856"/>
    <n v="3"/>
    <s v="Female"/>
    <n v="53"/>
    <n v="2"/>
    <n v="1"/>
    <x v="1"/>
    <n v="1"/>
    <s v="Single"/>
    <n v="2559"/>
    <n v="17852"/>
    <n v="1"/>
    <s v="Y"/>
    <x v="1"/>
    <n v="11"/>
    <n v="3"/>
    <n v="4"/>
    <n v="80"/>
    <n v="0"/>
    <n v="6"/>
    <n v="3"/>
    <n v="2"/>
    <n v="6"/>
    <n v="5"/>
    <n v="1"/>
    <n v="1"/>
    <x v="1"/>
    <x v="1"/>
    <x v="1"/>
  </r>
  <r>
    <n v="36"/>
    <x v="1"/>
    <s v="Travel_Rarely"/>
    <n v="928"/>
    <x v="0"/>
    <n v="1"/>
    <n v="2"/>
    <s v="Life Sciences"/>
    <n v="1"/>
    <n v="857"/>
    <n v="2"/>
    <s v="Male"/>
    <n v="56"/>
    <n v="3"/>
    <n v="2"/>
    <x v="0"/>
    <n v="4"/>
    <s v="Married"/>
    <n v="6201"/>
    <n v="2823"/>
    <n v="1"/>
    <s v="Y"/>
    <x v="0"/>
    <n v="14"/>
    <n v="3"/>
    <n v="4"/>
    <n v="80"/>
    <n v="1"/>
    <n v="18"/>
    <n v="1"/>
    <n v="2"/>
    <n v="18"/>
    <n v="14"/>
    <n v="4"/>
    <n v="11"/>
    <x v="1"/>
    <x v="1"/>
    <x v="0"/>
  </r>
  <r>
    <n v="32"/>
    <x v="1"/>
    <s v="Travel_Rarely"/>
    <n v="117"/>
    <x v="0"/>
    <n v="13"/>
    <n v="4"/>
    <s v="Life Sciences"/>
    <n v="1"/>
    <n v="859"/>
    <n v="2"/>
    <s v="Male"/>
    <n v="73"/>
    <n v="3"/>
    <n v="2"/>
    <x v="0"/>
    <n v="4"/>
    <s v="Divorced"/>
    <n v="4403"/>
    <n v="9250"/>
    <n v="2"/>
    <s v="Y"/>
    <x v="1"/>
    <n v="11"/>
    <n v="3"/>
    <n v="3"/>
    <n v="80"/>
    <n v="1"/>
    <n v="8"/>
    <n v="3"/>
    <n v="2"/>
    <n v="5"/>
    <n v="2"/>
    <n v="0"/>
    <n v="3"/>
    <x v="1"/>
    <x v="1"/>
    <x v="0"/>
  </r>
  <r>
    <n v="30"/>
    <x v="1"/>
    <s v="Travel_Frequently"/>
    <n v="1012"/>
    <x v="1"/>
    <n v="5"/>
    <n v="4"/>
    <s v="Life Sciences"/>
    <n v="1"/>
    <n v="861"/>
    <n v="2"/>
    <s v="Male"/>
    <n v="75"/>
    <n v="2"/>
    <n v="1"/>
    <x v="1"/>
    <n v="4"/>
    <s v="Divorced"/>
    <n v="3761"/>
    <n v="2373"/>
    <n v="9"/>
    <s v="Y"/>
    <x v="1"/>
    <n v="12"/>
    <n v="3"/>
    <n v="2"/>
    <n v="80"/>
    <n v="1"/>
    <n v="10"/>
    <n v="3"/>
    <n v="2"/>
    <n v="5"/>
    <n v="4"/>
    <n v="0"/>
    <n v="3"/>
    <x v="1"/>
    <x v="1"/>
    <x v="0"/>
  </r>
  <r>
    <n v="53"/>
    <x v="1"/>
    <s v="Travel_Rarely"/>
    <n v="661"/>
    <x v="0"/>
    <n v="7"/>
    <n v="2"/>
    <s v="Marketing"/>
    <n v="1"/>
    <n v="862"/>
    <n v="1"/>
    <s v="Female"/>
    <n v="78"/>
    <n v="2"/>
    <n v="3"/>
    <x v="0"/>
    <n v="4"/>
    <s v="Married"/>
    <n v="10934"/>
    <n v="20715"/>
    <n v="7"/>
    <s v="Y"/>
    <x v="0"/>
    <n v="18"/>
    <n v="3"/>
    <n v="4"/>
    <n v="80"/>
    <n v="1"/>
    <n v="35"/>
    <n v="3"/>
    <n v="3"/>
    <n v="5"/>
    <n v="2"/>
    <n v="0"/>
    <n v="4"/>
    <x v="1"/>
    <x v="3"/>
    <x v="2"/>
  </r>
  <r>
    <n v="45"/>
    <x v="1"/>
    <s v="Travel_Rarely"/>
    <n v="930"/>
    <x v="0"/>
    <n v="9"/>
    <n v="3"/>
    <s v="Marketing"/>
    <n v="1"/>
    <n v="864"/>
    <n v="4"/>
    <s v="Male"/>
    <n v="74"/>
    <n v="3"/>
    <n v="3"/>
    <x v="0"/>
    <n v="1"/>
    <s v="Divorced"/>
    <n v="10761"/>
    <n v="19239"/>
    <n v="4"/>
    <s v="Y"/>
    <x v="0"/>
    <n v="12"/>
    <n v="3"/>
    <n v="3"/>
    <n v="80"/>
    <n v="1"/>
    <n v="18"/>
    <n v="2"/>
    <n v="3"/>
    <n v="5"/>
    <n v="4"/>
    <n v="0"/>
    <n v="2"/>
    <x v="1"/>
    <x v="0"/>
    <x v="2"/>
  </r>
  <r>
    <n v="32"/>
    <x v="1"/>
    <s v="Travel_Rarely"/>
    <n v="638"/>
    <x v="1"/>
    <n v="8"/>
    <n v="2"/>
    <s v="Medical"/>
    <n v="1"/>
    <n v="865"/>
    <n v="3"/>
    <s v="Female"/>
    <n v="91"/>
    <n v="4"/>
    <n v="2"/>
    <x v="1"/>
    <n v="3"/>
    <s v="Married"/>
    <n v="5175"/>
    <n v="22162"/>
    <n v="5"/>
    <s v="Y"/>
    <x v="1"/>
    <n v="12"/>
    <n v="3"/>
    <n v="3"/>
    <n v="80"/>
    <n v="1"/>
    <n v="9"/>
    <n v="3"/>
    <n v="2"/>
    <n v="5"/>
    <n v="3"/>
    <n v="1"/>
    <n v="3"/>
    <x v="1"/>
    <x v="1"/>
    <x v="0"/>
  </r>
  <r>
    <n v="52"/>
    <x v="1"/>
    <s v="Travel_Frequently"/>
    <n v="890"/>
    <x v="1"/>
    <n v="25"/>
    <n v="4"/>
    <s v="Medical"/>
    <n v="1"/>
    <n v="867"/>
    <n v="3"/>
    <s v="Female"/>
    <n v="81"/>
    <n v="2"/>
    <n v="4"/>
    <x v="3"/>
    <n v="4"/>
    <s v="Married"/>
    <n v="13826"/>
    <n v="19028"/>
    <n v="3"/>
    <s v="Y"/>
    <x v="1"/>
    <n v="22"/>
    <n v="4"/>
    <n v="3"/>
    <n v="80"/>
    <n v="0"/>
    <n v="31"/>
    <n v="3"/>
    <n v="3"/>
    <n v="9"/>
    <n v="8"/>
    <n v="0"/>
    <n v="0"/>
    <x v="1"/>
    <x v="3"/>
    <x v="2"/>
  </r>
  <r>
    <n v="37"/>
    <x v="1"/>
    <s v="Travel_Rarely"/>
    <n v="342"/>
    <x v="0"/>
    <n v="16"/>
    <n v="4"/>
    <s v="Marketing"/>
    <n v="1"/>
    <n v="868"/>
    <n v="4"/>
    <s v="Male"/>
    <n v="66"/>
    <n v="2"/>
    <n v="2"/>
    <x v="0"/>
    <n v="3"/>
    <s v="Divorced"/>
    <n v="6334"/>
    <n v="24558"/>
    <n v="4"/>
    <s v="Y"/>
    <x v="1"/>
    <n v="19"/>
    <n v="3"/>
    <n v="4"/>
    <n v="80"/>
    <n v="2"/>
    <n v="9"/>
    <n v="2"/>
    <n v="3"/>
    <n v="1"/>
    <n v="0"/>
    <n v="0"/>
    <n v="0"/>
    <x v="1"/>
    <x v="1"/>
    <x v="0"/>
  </r>
  <r>
    <n v="28"/>
    <x v="1"/>
    <s v="Travel_Rarely"/>
    <n v="1169"/>
    <x v="2"/>
    <n v="8"/>
    <n v="2"/>
    <s v="Medical"/>
    <n v="1"/>
    <n v="869"/>
    <n v="2"/>
    <s v="Male"/>
    <n v="63"/>
    <n v="2"/>
    <n v="1"/>
    <x v="8"/>
    <n v="4"/>
    <s v="Divorced"/>
    <n v="4936"/>
    <n v="23965"/>
    <n v="1"/>
    <s v="Y"/>
    <x v="1"/>
    <n v="13"/>
    <n v="3"/>
    <n v="4"/>
    <n v="80"/>
    <n v="1"/>
    <n v="6"/>
    <n v="6"/>
    <n v="3"/>
    <n v="5"/>
    <n v="1"/>
    <n v="0"/>
    <n v="4"/>
    <x v="1"/>
    <x v="2"/>
    <x v="0"/>
  </r>
  <r>
    <n v="22"/>
    <x v="1"/>
    <s v="Travel_Rarely"/>
    <n v="1230"/>
    <x v="1"/>
    <n v="1"/>
    <n v="2"/>
    <s v="Life Sciences"/>
    <n v="1"/>
    <n v="872"/>
    <n v="4"/>
    <s v="Male"/>
    <n v="33"/>
    <n v="2"/>
    <n v="2"/>
    <x v="3"/>
    <n v="4"/>
    <s v="Married"/>
    <n v="4775"/>
    <n v="19146"/>
    <n v="6"/>
    <s v="Y"/>
    <x v="1"/>
    <n v="22"/>
    <n v="4"/>
    <n v="1"/>
    <n v="80"/>
    <n v="2"/>
    <n v="4"/>
    <n v="2"/>
    <n v="1"/>
    <n v="2"/>
    <n v="2"/>
    <n v="2"/>
    <n v="2"/>
    <x v="1"/>
    <x v="2"/>
    <x v="0"/>
  </r>
  <r>
    <n v="44"/>
    <x v="1"/>
    <s v="Travel_Rarely"/>
    <n v="986"/>
    <x v="1"/>
    <n v="8"/>
    <n v="4"/>
    <s v="Life Sciences"/>
    <n v="1"/>
    <n v="874"/>
    <n v="1"/>
    <s v="Male"/>
    <n v="62"/>
    <n v="4"/>
    <n v="1"/>
    <x v="2"/>
    <n v="4"/>
    <s v="Married"/>
    <n v="2818"/>
    <n v="5044"/>
    <n v="2"/>
    <s v="Y"/>
    <x v="0"/>
    <n v="24"/>
    <n v="4"/>
    <n v="3"/>
    <n v="80"/>
    <n v="1"/>
    <n v="10"/>
    <n v="2"/>
    <n v="2"/>
    <n v="3"/>
    <n v="2"/>
    <n v="0"/>
    <n v="2"/>
    <x v="1"/>
    <x v="0"/>
    <x v="1"/>
  </r>
  <r>
    <n v="42"/>
    <x v="1"/>
    <s v="Travel_Frequently"/>
    <n v="1271"/>
    <x v="1"/>
    <n v="2"/>
    <n v="1"/>
    <s v="Medical"/>
    <n v="1"/>
    <n v="875"/>
    <n v="2"/>
    <s v="Male"/>
    <n v="35"/>
    <n v="3"/>
    <n v="1"/>
    <x v="1"/>
    <n v="4"/>
    <s v="Single"/>
    <n v="2515"/>
    <n v="9068"/>
    <n v="5"/>
    <s v="Y"/>
    <x v="0"/>
    <n v="14"/>
    <n v="3"/>
    <n v="4"/>
    <n v="80"/>
    <n v="0"/>
    <n v="8"/>
    <n v="2"/>
    <n v="3"/>
    <n v="2"/>
    <n v="1"/>
    <n v="2"/>
    <n v="2"/>
    <x v="1"/>
    <x v="0"/>
    <x v="1"/>
  </r>
  <r>
    <n v="36"/>
    <x v="1"/>
    <s v="Travel_Rarely"/>
    <n v="1278"/>
    <x v="2"/>
    <n v="8"/>
    <n v="3"/>
    <s v="Life Sciences"/>
    <n v="1"/>
    <n v="878"/>
    <n v="1"/>
    <s v="Male"/>
    <n v="77"/>
    <n v="2"/>
    <n v="1"/>
    <x v="8"/>
    <n v="1"/>
    <s v="Married"/>
    <n v="2342"/>
    <n v="8635"/>
    <n v="0"/>
    <s v="Y"/>
    <x v="1"/>
    <n v="21"/>
    <n v="4"/>
    <n v="3"/>
    <n v="80"/>
    <n v="0"/>
    <n v="6"/>
    <n v="3"/>
    <n v="3"/>
    <n v="5"/>
    <n v="4"/>
    <n v="0"/>
    <n v="3"/>
    <x v="1"/>
    <x v="1"/>
    <x v="1"/>
  </r>
  <r>
    <n v="25"/>
    <x v="1"/>
    <s v="Travel_Rarely"/>
    <n v="141"/>
    <x v="0"/>
    <n v="3"/>
    <n v="1"/>
    <s v="Other"/>
    <n v="1"/>
    <n v="879"/>
    <n v="3"/>
    <s v="Male"/>
    <n v="98"/>
    <n v="3"/>
    <n v="2"/>
    <x v="0"/>
    <n v="1"/>
    <s v="Married"/>
    <n v="4194"/>
    <n v="14363"/>
    <n v="1"/>
    <s v="Y"/>
    <x v="0"/>
    <n v="18"/>
    <n v="3"/>
    <n v="4"/>
    <n v="80"/>
    <n v="0"/>
    <n v="5"/>
    <n v="3"/>
    <n v="3"/>
    <n v="5"/>
    <n v="3"/>
    <n v="0"/>
    <n v="3"/>
    <x v="1"/>
    <x v="2"/>
    <x v="0"/>
  </r>
  <r>
    <n v="35"/>
    <x v="1"/>
    <s v="Travel_Rarely"/>
    <n v="607"/>
    <x v="1"/>
    <n v="9"/>
    <n v="3"/>
    <s v="Life Sciences"/>
    <n v="1"/>
    <n v="880"/>
    <n v="4"/>
    <s v="Female"/>
    <n v="66"/>
    <n v="2"/>
    <n v="3"/>
    <x v="3"/>
    <n v="3"/>
    <s v="Married"/>
    <n v="10685"/>
    <n v="23457"/>
    <n v="1"/>
    <s v="Y"/>
    <x v="0"/>
    <n v="20"/>
    <n v="4"/>
    <n v="2"/>
    <n v="80"/>
    <n v="1"/>
    <n v="17"/>
    <n v="2"/>
    <n v="3"/>
    <n v="17"/>
    <n v="14"/>
    <n v="5"/>
    <n v="15"/>
    <x v="1"/>
    <x v="1"/>
    <x v="2"/>
  </r>
  <r>
    <n v="35"/>
    <x v="0"/>
    <s v="Travel_Frequently"/>
    <n v="130"/>
    <x v="1"/>
    <n v="25"/>
    <n v="4"/>
    <s v="Life Sciences"/>
    <n v="1"/>
    <n v="881"/>
    <n v="4"/>
    <s v="Female"/>
    <n v="96"/>
    <n v="3"/>
    <n v="1"/>
    <x v="1"/>
    <n v="2"/>
    <s v="Divorced"/>
    <n v="2022"/>
    <n v="16612"/>
    <n v="1"/>
    <s v="Y"/>
    <x v="0"/>
    <n v="19"/>
    <n v="3"/>
    <n v="1"/>
    <n v="80"/>
    <n v="1"/>
    <n v="10"/>
    <n v="3"/>
    <n v="2"/>
    <n v="10"/>
    <n v="2"/>
    <n v="7"/>
    <n v="8"/>
    <x v="0"/>
    <x v="1"/>
    <x v="1"/>
  </r>
  <r>
    <n v="32"/>
    <x v="1"/>
    <s v="Non-Travel"/>
    <n v="300"/>
    <x v="1"/>
    <n v="1"/>
    <n v="3"/>
    <s v="Life Sciences"/>
    <n v="1"/>
    <n v="882"/>
    <n v="4"/>
    <s v="Male"/>
    <n v="61"/>
    <n v="3"/>
    <n v="1"/>
    <x v="2"/>
    <n v="4"/>
    <s v="Divorced"/>
    <n v="2314"/>
    <n v="9148"/>
    <n v="0"/>
    <s v="Y"/>
    <x v="1"/>
    <n v="12"/>
    <n v="3"/>
    <n v="2"/>
    <n v="80"/>
    <n v="1"/>
    <n v="4"/>
    <n v="2"/>
    <n v="3"/>
    <n v="3"/>
    <n v="0"/>
    <n v="0"/>
    <n v="2"/>
    <x v="1"/>
    <x v="1"/>
    <x v="1"/>
  </r>
  <r>
    <n v="25"/>
    <x v="1"/>
    <s v="Travel_Rarely"/>
    <n v="583"/>
    <x v="0"/>
    <n v="4"/>
    <n v="1"/>
    <s v="Marketing"/>
    <n v="1"/>
    <n v="885"/>
    <n v="3"/>
    <s v="Male"/>
    <n v="87"/>
    <n v="2"/>
    <n v="2"/>
    <x v="0"/>
    <n v="1"/>
    <s v="Married"/>
    <n v="4256"/>
    <n v="18154"/>
    <n v="1"/>
    <s v="Y"/>
    <x v="1"/>
    <n v="12"/>
    <n v="3"/>
    <n v="1"/>
    <n v="80"/>
    <n v="0"/>
    <n v="5"/>
    <n v="1"/>
    <n v="4"/>
    <n v="5"/>
    <n v="2"/>
    <n v="0"/>
    <n v="3"/>
    <x v="1"/>
    <x v="2"/>
    <x v="0"/>
  </r>
  <r>
    <n v="49"/>
    <x v="1"/>
    <s v="Travel_Rarely"/>
    <n v="1418"/>
    <x v="1"/>
    <n v="1"/>
    <n v="3"/>
    <s v="Technical Degree"/>
    <n v="1"/>
    <n v="887"/>
    <n v="3"/>
    <s v="Female"/>
    <n v="36"/>
    <n v="3"/>
    <n v="1"/>
    <x v="1"/>
    <n v="1"/>
    <s v="Married"/>
    <n v="3580"/>
    <n v="10554"/>
    <n v="2"/>
    <s v="Y"/>
    <x v="1"/>
    <n v="16"/>
    <n v="3"/>
    <n v="2"/>
    <n v="80"/>
    <n v="1"/>
    <n v="7"/>
    <n v="2"/>
    <n v="3"/>
    <n v="4"/>
    <n v="2"/>
    <n v="0"/>
    <n v="2"/>
    <x v="1"/>
    <x v="0"/>
    <x v="0"/>
  </r>
  <r>
    <n v="24"/>
    <x v="1"/>
    <s v="Non-Travel"/>
    <n v="1269"/>
    <x v="1"/>
    <n v="4"/>
    <n v="1"/>
    <s v="Life Sciences"/>
    <n v="1"/>
    <n v="888"/>
    <n v="1"/>
    <s v="Male"/>
    <n v="46"/>
    <n v="2"/>
    <n v="1"/>
    <x v="2"/>
    <n v="4"/>
    <s v="Married"/>
    <n v="3162"/>
    <n v="10778"/>
    <n v="0"/>
    <s v="Y"/>
    <x v="1"/>
    <n v="17"/>
    <n v="3"/>
    <n v="4"/>
    <n v="80"/>
    <n v="0"/>
    <n v="6"/>
    <n v="2"/>
    <n v="2"/>
    <n v="5"/>
    <n v="2"/>
    <n v="3"/>
    <n v="4"/>
    <x v="1"/>
    <x v="2"/>
    <x v="0"/>
  </r>
  <r>
    <n v="32"/>
    <x v="1"/>
    <s v="Travel_Frequently"/>
    <n v="379"/>
    <x v="0"/>
    <n v="5"/>
    <n v="2"/>
    <s v="Life Sciences"/>
    <n v="1"/>
    <n v="889"/>
    <n v="2"/>
    <s v="Male"/>
    <n v="48"/>
    <n v="3"/>
    <n v="2"/>
    <x v="0"/>
    <n v="2"/>
    <s v="Married"/>
    <n v="6524"/>
    <n v="8891"/>
    <n v="1"/>
    <s v="Y"/>
    <x v="1"/>
    <n v="14"/>
    <n v="3"/>
    <n v="4"/>
    <n v="80"/>
    <n v="1"/>
    <n v="10"/>
    <n v="3"/>
    <n v="3"/>
    <n v="10"/>
    <n v="8"/>
    <n v="5"/>
    <n v="3"/>
    <x v="1"/>
    <x v="1"/>
    <x v="0"/>
  </r>
  <r>
    <n v="38"/>
    <x v="1"/>
    <s v="Travel_Rarely"/>
    <n v="395"/>
    <x v="0"/>
    <n v="9"/>
    <n v="3"/>
    <s v="Marketing"/>
    <n v="1"/>
    <n v="893"/>
    <n v="2"/>
    <s v="Male"/>
    <n v="98"/>
    <n v="2"/>
    <n v="1"/>
    <x v="6"/>
    <n v="2"/>
    <s v="Married"/>
    <n v="2899"/>
    <n v="12102"/>
    <n v="0"/>
    <s v="Y"/>
    <x v="1"/>
    <n v="19"/>
    <n v="3"/>
    <n v="4"/>
    <n v="80"/>
    <n v="1"/>
    <n v="3"/>
    <n v="3"/>
    <n v="3"/>
    <n v="2"/>
    <n v="2"/>
    <n v="1"/>
    <n v="2"/>
    <x v="1"/>
    <x v="1"/>
    <x v="1"/>
  </r>
  <r>
    <n v="42"/>
    <x v="1"/>
    <s v="Travel_Rarely"/>
    <n v="1265"/>
    <x v="1"/>
    <n v="3"/>
    <n v="3"/>
    <s v="Life Sciences"/>
    <n v="1"/>
    <n v="894"/>
    <n v="3"/>
    <s v="Female"/>
    <n v="95"/>
    <n v="4"/>
    <n v="2"/>
    <x v="2"/>
    <n v="4"/>
    <s v="Married"/>
    <n v="5231"/>
    <n v="23726"/>
    <n v="2"/>
    <s v="Y"/>
    <x v="0"/>
    <n v="13"/>
    <n v="3"/>
    <n v="2"/>
    <n v="80"/>
    <n v="1"/>
    <n v="17"/>
    <n v="1"/>
    <n v="2"/>
    <n v="5"/>
    <n v="3"/>
    <n v="1"/>
    <n v="3"/>
    <x v="1"/>
    <x v="0"/>
    <x v="0"/>
  </r>
  <r>
    <n v="31"/>
    <x v="1"/>
    <s v="Travel_Rarely"/>
    <n v="1222"/>
    <x v="1"/>
    <n v="11"/>
    <n v="4"/>
    <s v="Life Sciences"/>
    <n v="1"/>
    <n v="895"/>
    <n v="4"/>
    <s v="Male"/>
    <n v="48"/>
    <n v="3"/>
    <n v="1"/>
    <x v="1"/>
    <n v="4"/>
    <s v="Married"/>
    <n v="2356"/>
    <n v="14871"/>
    <n v="3"/>
    <s v="Y"/>
    <x v="0"/>
    <n v="19"/>
    <n v="3"/>
    <n v="2"/>
    <n v="80"/>
    <n v="1"/>
    <n v="8"/>
    <n v="2"/>
    <n v="3"/>
    <n v="6"/>
    <n v="4"/>
    <n v="0"/>
    <n v="2"/>
    <x v="1"/>
    <x v="1"/>
    <x v="1"/>
  </r>
  <r>
    <n v="29"/>
    <x v="0"/>
    <s v="Travel_Rarely"/>
    <n v="341"/>
    <x v="0"/>
    <n v="1"/>
    <n v="3"/>
    <s v="Medical"/>
    <n v="1"/>
    <n v="896"/>
    <n v="2"/>
    <s v="Female"/>
    <n v="48"/>
    <n v="2"/>
    <n v="1"/>
    <x v="6"/>
    <n v="3"/>
    <s v="Divorced"/>
    <n v="2800"/>
    <n v="23522"/>
    <n v="6"/>
    <s v="Y"/>
    <x v="0"/>
    <n v="19"/>
    <n v="3"/>
    <n v="3"/>
    <n v="80"/>
    <n v="3"/>
    <n v="5"/>
    <n v="3"/>
    <n v="3"/>
    <n v="3"/>
    <n v="2"/>
    <n v="0"/>
    <n v="2"/>
    <x v="0"/>
    <x v="2"/>
    <x v="1"/>
  </r>
  <r>
    <n v="53"/>
    <x v="1"/>
    <s v="Travel_Rarely"/>
    <n v="868"/>
    <x v="0"/>
    <n v="8"/>
    <n v="3"/>
    <s v="Marketing"/>
    <n v="1"/>
    <n v="897"/>
    <n v="1"/>
    <s v="Male"/>
    <n v="73"/>
    <n v="3"/>
    <n v="4"/>
    <x v="0"/>
    <n v="4"/>
    <s v="Married"/>
    <n v="11836"/>
    <n v="22789"/>
    <n v="5"/>
    <s v="Y"/>
    <x v="1"/>
    <n v="14"/>
    <n v="3"/>
    <n v="3"/>
    <n v="80"/>
    <n v="1"/>
    <n v="28"/>
    <n v="3"/>
    <n v="3"/>
    <n v="2"/>
    <n v="0"/>
    <n v="2"/>
    <n v="2"/>
    <x v="1"/>
    <x v="3"/>
    <x v="2"/>
  </r>
  <r>
    <n v="35"/>
    <x v="1"/>
    <s v="Travel_Rarely"/>
    <n v="672"/>
    <x v="1"/>
    <n v="25"/>
    <n v="3"/>
    <s v="Technical Degree"/>
    <n v="1"/>
    <n v="899"/>
    <n v="4"/>
    <s v="Male"/>
    <n v="78"/>
    <n v="2"/>
    <n v="3"/>
    <x v="3"/>
    <n v="2"/>
    <s v="Married"/>
    <n v="10903"/>
    <n v="9129"/>
    <n v="3"/>
    <s v="Y"/>
    <x v="1"/>
    <n v="16"/>
    <n v="3"/>
    <n v="1"/>
    <n v="80"/>
    <n v="0"/>
    <n v="16"/>
    <n v="2"/>
    <n v="3"/>
    <n v="13"/>
    <n v="10"/>
    <n v="4"/>
    <n v="8"/>
    <x v="1"/>
    <x v="1"/>
    <x v="2"/>
  </r>
  <r>
    <n v="37"/>
    <x v="1"/>
    <s v="Travel_Frequently"/>
    <n v="1231"/>
    <x v="0"/>
    <n v="21"/>
    <n v="2"/>
    <s v="Medical"/>
    <n v="1"/>
    <n v="900"/>
    <n v="3"/>
    <s v="Female"/>
    <n v="54"/>
    <n v="3"/>
    <n v="1"/>
    <x v="6"/>
    <n v="4"/>
    <s v="Married"/>
    <n v="2973"/>
    <n v="21222"/>
    <n v="5"/>
    <s v="Y"/>
    <x v="1"/>
    <n v="15"/>
    <n v="3"/>
    <n v="2"/>
    <n v="80"/>
    <n v="1"/>
    <n v="10"/>
    <n v="3"/>
    <n v="3"/>
    <n v="5"/>
    <n v="4"/>
    <n v="0"/>
    <n v="0"/>
    <x v="1"/>
    <x v="1"/>
    <x v="1"/>
  </r>
  <r>
    <n v="53"/>
    <x v="1"/>
    <s v="Travel_Rarely"/>
    <n v="102"/>
    <x v="1"/>
    <n v="23"/>
    <n v="4"/>
    <s v="Life Sciences"/>
    <n v="1"/>
    <n v="901"/>
    <n v="4"/>
    <s v="Female"/>
    <n v="72"/>
    <n v="3"/>
    <n v="4"/>
    <x v="7"/>
    <n v="4"/>
    <s v="Single"/>
    <n v="14275"/>
    <n v="20206"/>
    <n v="6"/>
    <s v="Y"/>
    <x v="1"/>
    <n v="18"/>
    <n v="3"/>
    <n v="3"/>
    <n v="80"/>
    <n v="0"/>
    <n v="33"/>
    <n v="0"/>
    <n v="3"/>
    <n v="12"/>
    <n v="9"/>
    <n v="3"/>
    <n v="8"/>
    <x v="1"/>
    <x v="3"/>
    <x v="2"/>
  </r>
  <r>
    <n v="43"/>
    <x v="1"/>
    <s v="Travel_Frequently"/>
    <n v="422"/>
    <x v="1"/>
    <n v="1"/>
    <n v="3"/>
    <s v="Life Sciences"/>
    <n v="1"/>
    <n v="902"/>
    <n v="4"/>
    <s v="Female"/>
    <n v="33"/>
    <n v="3"/>
    <n v="2"/>
    <x v="4"/>
    <n v="4"/>
    <s v="Married"/>
    <n v="5562"/>
    <n v="21782"/>
    <n v="4"/>
    <s v="Y"/>
    <x v="1"/>
    <n v="13"/>
    <n v="3"/>
    <n v="2"/>
    <n v="80"/>
    <n v="1"/>
    <n v="12"/>
    <n v="2"/>
    <n v="2"/>
    <n v="5"/>
    <n v="2"/>
    <n v="2"/>
    <n v="2"/>
    <x v="1"/>
    <x v="0"/>
    <x v="0"/>
  </r>
  <r>
    <n v="47"/>
    <x v="1"/>
    <s v="Travel_Rarely"/>
    <n v="249"/>
    <x v="0"/>
    <n v="2"/>
    <n v="2"/>
    <s v="Marketing"/>
    <n v="1"/>
    <n v="903"/>
    <n v="3"/>
    <s v="Female"/>
    <n v="35"/>
    <n v="3"/>
    <n v="2"/>
    <x v="0"/>
    <n v="4"/>
    <s v="Married"/>
    <n v="4537"/>
    <n v="17783"/>
    <n v="0"/>
    <s v="Y"/>
    <x v="0"/>
    <n v="22"/>
    <n v="4"/>
    <n v="1"/>
    <n v="80"/>
    <n v="1"/>
    <n v="8"/>
    <n v="2"/>
    <n v="3"/>
    <n v="7"/>
    <n v="6"/>
    <n v="7"/>
    <n v="7"/>
    <x v="1"/>
    <x v="0"/>
    <x v="0"/>
  </r>
  <r>
    <n v="37"/>
    <x v="1"/>
    <s v="Non-Travel"/>
    <n v="1252"/>
    <x v="0"/>
    <n v="19"/>
    <n v="2"/>
    <s v="Medical"/>
    <n v="1"/>
    <n v="904"/>
    <n v="1"/>
    <s v="Male"/>
    <n v="32"/>
    <n v="3"/>
    <n v="3"/>
    <x v="0"/>
    <n v="2"/>
    <s v="Single"/>
    <n v="7642"/>
    <n v="4814"/>
    <n v="1"/>
    <s v="Y"/>
    <x v="0"/>
    <n v="13"/>
    <n v="3"/>
    <n v="4"/>
    <n v="80"/>
    <n v="0"/>
    <n v="10"/>
    <n v="2"/>
    <n v="3"/>
    <n v="10"/>
    <n v="0"/>
    <n v="0"/>
    <n v="9"/>
    <x v="1"/>
    <x v="1"/>
    <x v="2"/>
  </r>
  <r>
    <n v="50"/>
    <x v="1"/>
    <s v="Non-Travel"/>
    <n v="881"/>
    <x v="1"/>
    <n v="2"/>
    <n v="4"/>
    <s v="Life Sciences"/>
    <n v="1"/>
    <n v="905"/>
    <n v="1"/>
    <s v="Male"/>
    <n v="98"/>
    <n v="3"/>
    <n v="4"/>
    <x v="5"/>
    <n v="1"/>
    <s v="Divorced"/>
    <n v="17924"/>
    <n v="4544"/>
    <n v="1"/>
    <s v="Y"/>
    <x v="1"/>
    <n v="11"/>
    <n v="3"/>
    <n v="4"/>
    <n v="80"/>
    <n v="1"/>
    <n v="31"/>
    <n v="3"/>
    <n v="3"/>
    <n v="31"/>
    <n v="6"/>
    <n v="14"/>
    <n v="7"/>
    <x v="1"/>
    <x v="3"/>
    <x v="2"/>
  </r>
  <r>
    <n v="39"/>
    <x v="1"/>
    <s v="Travel_Rarely"/>
    <n v="1383"/>
    <x v="2"/>
    <n v="2"/>
    <n v="3"/>
    <s v="Life Sciences"/>
    <n v="1"/>
    <n v="909"/>
    <n v="4"/>
    <s v="Female"/>
    <n v="42"/>
    <n v="2"/>
    <n v="2"/>
    <x v="8"/>
    <n v="4"/>
    <s v="Married"/>
    <n v="5204"/>
    <n v="7790"/>
    <n v="8"/>
    <s v="Y"/>
    <x v="1"/>
    <n v="11"/>
    <n v="3"/>
    <n v="3"/>
    <n v="80"/>
    <n v="2"/>
    <n v="13"/>
    <n v="2"/>
    <n v="3"/>
    <n v="5"/>
    <n v="4"/>
    <n v="0"/>
    <n v="4"/>
    <x v="1"/>
    <x v="1"/>
    <x v="0"/>
  </r>
  <r>
    <n v="33"/>
    <x v="1"/>
    <s v="Travel_Rarely"/>
    <n v="1075"/>
    <x v="2"/>
    <n v="3"/>
    <n v="2"/>
    <s v="Human Resources"/>
    <n v="1"/>
    <n v="910"/>
    <n v="4"/>
    <s v="Male"/>
    <n v="57"/>
    <n v="3"/>
    <n v="1"/>
    <x v="8"/>
    <n v="2"/>
    <s v="Divorced"/>
    <n v="2277"/>
    <n v="22650"/>
    <n v="3"/>
    <s v="Y"/>
    <x v="0"/>
    <n v="11"/>
    <n v="3"/>
    <n v="3"/>
    <n v="80"/>
    <n v="1"/>
    <n v="7"/>
    <n v="4"/>
    <n v="4"/>
    <n v="4"/>
    <n v="3"/>
    <n v="0"/>
    <n v="3"/>
    <x v="1"/>
    <x v="1"/>
    <x v="1"/>
  </r>
  <r>
    <n v="32"/>
    <x v="0"/>
    <s v="Travel_Rarely"/>
    <n v="374"/>
    <x v="1"/>
    <n v="25"/>
    <n v="4"/>
    <s v="Life Sciences"/>
    <n v="1"/>
    <n v="911"/>
    <n v="1"/>
    <s v="Male"/>
    <n v="87"/>
    <n v="3"/>
    <n v="1"/>
    <x v="2"/>
    <n v="4"/>
    <s v="Single"/>
    <n v="2795"/>
    <n v="18016"/>
    <n v="1"/>
    <s v="Y"/>
    <x v="0"/>
    <n v="24"/>
    <n v="4"/>
    <n v="3"/>
    <n v="80"/>
    <n v="0"/>
    <n v="1"/>
    <n v="2"/>
    <n v="1"/>
    <n v="1"/>
    <n v="0"/>
    <n v="0"/>
    <n v="1"/>
    <x v="0"/>
    <x v="1"/>
    <x v="1"/>
  </r>
  <r>
    <n v="29"/>
    <x v="1"/>
    <s v="Travel_Rarely"/>
    <n v="1086"/>
    <x v="1"/>
    <n v="7"/>
    <n v="1"/>
    <s v="Medical"/>
    <n v="1"/>
    <n v="912"/>
    <n v="1"/>
    <s v="Female"/>
    <n v="62"/>
    <n v="2"/>
    <n v="1"/>
    <x v="2"/>
    <n v="4"/>
    <s v="Divorced"/>
    <n v="2532"/>
    <n v="6054"/>
    <n v="6"/>
    <s v="Y"/>
    <x v="1"/>
    <n v="14"/>
    <n v="3"/>
    <n v="3"/>
    <n v="80"/>
    <n v="3"/>
    <n v="8"/>
    <n v="5"/>
    <n v="3"/>
    <n v="4"/>
    <n v="3"/>
    <n v="0"/>
    <n v="3"/>
    <x v="1"/>
    <x v="2"/>
    <x v="1"/>
  </r>
  <r>
    <n v="44"/>
    <x v="1"/>
    <s v="Travel_Rarely"/>
    <n v="661"/>
    <x v="1"/>
    <n v="9"/>
    <n v="2"/>
    <s v="Life Sciences"/>
    <n v="1"/>
    <n v="913"/>
    <n v="2"/>
    <s v="Male"/>
    <n v="61"/>
    <n v="3"/>
    <n v="1"/>
    <x v="1"/>
    <n v="1"/>
    <s v="Married"/>
    <n v="2559"/>
    <n v="7508"/>
    <n v="1"/>
    <s v="Y"/>
    <x v="0"/>
    <n v="13"/>
    <n v="3"/>
    <n v="4"/>
    <n v="80"/>
    <n v="0"/>
    <n v="8"/>
    <n v="0"/>
    <n v="3"/>
    <n v="8"/>
    <n v="7"/>
    <n v="7"/>
    <n v="1"/>
    <x v="1"/>
    <x v="0"/>
    <x v="1"/>
  </r>
  <r>
    <n v="28"/>
    <x v="1"/>
    <s v="Travel_Rarely"/>
    <n v="821"/>
    <x v="0"/>
    <n v="5"/>
    <n v="4"/>
    <s v="Medical"/>
    <n v="1"/>
    <n v="916"/>
    <n v="1"/>
    <s v="Male"/>
    <n v="98"/>
    <n v="3"/>
    <n v="2"/>
    <x v="0"/>
    <n v="4"/>
    <s v="Single"/>
    <n v="4908"/>
    <n v="24252"/>
    <n v="1"/>
    <s v="Y"/>
    <x v="1"/>
    <n v="14"/>
    <n v="3"/>
    <n v="2"/>
    <n v="80"/>
    <n v="0"/>
    <n v="4"/>
    <n v="3"/>
    <n v="3"/>
    <n v="4"/>
    <n v="2"/>
    <n v="0"/>
    <n v="2"/>
    <x v="1"/>
    <x v="2"/>
    <x v="0"/>
  </r>
  <r>
    <n v="58"/>
    <x v="0"/>
    <s v="Travel_Frequently"/>
    <n v="781"/>
    <x v="1"/>
    <n v="2"/>
    <n v="1"/>
    <s v="Life Sciences"/>
    <n v="1"/>
    <n v="918"/>
    <n v="4"/>
    <s v="Male"/>
    <n v="57"/>
    <n v="2"/>
    <n v="1"/>
    <x v="2"/>
    <n v="4"/>
    <s v="Divorced"/>
    <n v="2380"/>
    <n v="13384"/>
    <n v="9"/>
    <s v="Y"/>
    <x v="0"/>
    <n v="14"/>
    <n v="3"/>
    <n v="4"/>
    <n v="80"/>
    <n v="1"/>
    <n v="3"/>
    <n v="3"/>
    <n v="2"/>
    <n v="1"/>
    <n v="0"/>
    <n v="0"/>
    <n v="0"/>
    <x v="0"/>
    <x v="3"/>
    <x v="1"/>
  </r>
  <r>
    <n v="43"/>
    <x v="1"/>
    <s v="Travel_Rarely"/>
    <n v="177"/>
    <x v="1"/>
    <n v="8"/>
    <n v="3"/>
    <s v="Life Sciences"/>
    <n v="1"/>
    <n v="920"/>
    <n v="1"/>
    <s v="Female"/>
    <n v="55"/>
    <n v="3"/>
    <n v="2"/>
    <x v="3"/>
    <n v="2"/>
    <s v="Divorced"/>
    <n v="4765"/>
    <n v="23814"/>
    <n v="4"/>
    <s v="Y"/>
    <x v="1"/>
    <n v="21"/>
    <n v="4"/>
    <n v="3"/>
    <n v="80"/>
    <n v="1"/>
    <n v="4"/>
    <n v="2"/>
    <n v="4"/>
    <n v="1"/>
    <n v="0"/>
    <n v="0"/>
    <n v="0"/>
    <x v="1"/>
    <x v="0"/>
    <x v="0"/>
  </r>
  <r>
    <n v="20"/>
    <x v="0"/>
    <s v="Travel_Rarely"/>
    <n v="500"/>
    <x v="0"/>
    <n v="2"/>
    <n v="3"/>
    <s v="Medical"/>
    <n v="1"/>
    <n v="922"/>
    <n v="3"/>
    <s v="Female"/>
    <n v="49"/>
    <n v="2"/>
    <n v="1"/>
    <x v="6"/>
    <n v="3"/>
    <s v="Single"/>
    <n v="2044"/>
    <n v="22052"/>
    <n v="1"/>
    <s v="Y"/>
    <x v="1"/>
    <n v="13"/>
    <n v="3"/>
    <n v="4"/>
    <n v="80"/>
    <n v="0"/>
    <n v="2"/>
    <n v="3"/>
    <n v="2"/>
    <n v="2"/>
    <n v="2"/>
    <n v="0"/>
    <n v="2"/>
    <x v="0"/>
    <x v="2"/>
    <x v="1"/>
  </r>
  <r>
    <n v="21"/>
    <x v="0"/>
    <s v="Travel_Rarely"/>
    <n v="1427"/>
    <x v="1"/>
    <n v="18"/>
    <n v="1"/>
    <s v="Other"/>
    <n v="1"/>
    <n v="923"/>
    <n v="4"/>
    <s v="Female"/>
    <n v="65"/>
    <n v="3"/>
    <n v="1"/>
    <x v="1"/>
    <n v="4"/>
    <s v="Single"/>
    <n v="2693"/>
    <n v="8870"/>
    <n v="1"/>
    <s v="Y"/>
    <x v="1"/>
    <n v="19"/>
    <n v="3"/>
    <n v="1"/>
    <n v="80"/>
    <n v="0"/>
    <n v="1"/>
    <n v="3"/>
    <n v="2"/>
    <n v="1"/>
    <n v="0"/>
    <n v="0"/>
    <n v="0"/>
    <x v="0"/>
    <x v="2"/>
    <x v="1"/>
  </r>
  <r>
    <n v="36"/>
    <x v="1"/>
    <s v="Travel_Rarely"/>
    <n v="1425"/>
    <x v="1"/>
    <n v="14"/>
    <n v="1"/>
    <s v="Life Sciences"/>
    <n v="1"/>
    <n v="924"/>
    <n v="3"/>
    <s v="Male"/>
    <n v="68"/>
    <n v="3"/>
    <n v="2"/>
    <x v="4"/>
    <n v="4"/>
    <s v="Married"/>
    <n v="6586"/>
    <n v="4821"/>
    <n v="0"/>
    <s v="Y"/>
    <x v="0"/>
    <n v="17"/>
    <n v="3"/>
    <n v="1"/>
    <n v="80"/>
    <n v="1"/>
    <n v="17"/>
    <n v="2"/>
    <n v="2"/>
    <n v="16"/>
    <n v="8"/>
    <n v="4"/>
    <n v="11"/>
    <x v="1"/>
    <x v="1"/>
    <x v="0"/>
  </r>
  <r>
    <n v="47"/>
    <x v="1"/>
    <s v="Travel_Rarely"/>
    <n v="1454"/>
    <x v="0"/>
    <n v="2"/>
    <n v="4"/>
    <s v="Life Sciences"/>
    <n v="1"/>
    <n v="925"/>
    <n v="4"/>
    <s v="Female"/>
    <n v="65"/>
    <n v="2"/>
    <n v="1"/>
    <x v="6"/>
    <n v="4"/>
    <s v="Single"/>
    <n v="3294"/>
    <n v="13137"/>
    <n v="1"/>
    <s v="Y"/>
    <x v="0"/>
    <n v="18"/>
    <n v="3"/>
    <n v="1"/>
    <n v="80"/>
    <n v="0"/>
    <n v="3"/>
    <n v="3"/>
    <n v="2"/>
    <n v="3"/>
    <n v="2"/>
    <n v="1"/>
    <n v="2"/>
    <x v="1"/>
    <x v="0"/>
    <x v="0"/>
  </r>
  <r>
    <n v="22"/>
    <x v="0"/>
    <s v="Travel_Rarely"/>
    <n v="617"/>
    <x v="1"/>
    <n v="3"/>
    <n v="1"/>
    <s v="Life Sciences"/>
    <n v="1"/>
    <n v="926"/>
    <n v="2"/>
    <s v="Female"/>
    <n v="34"/>
    <n v="3"/>
    <n v="2"/>
    <x v="3"/>
    <n v="3"/>
    <s v="Married"/>
    <n v="4171"/>
    <n v="10022"/>
    <n v="0"/>
    <s v="Y"/>
    <x v="0"/>
    <n v="19"/>
    <n v="3"/>
    <n v="1"/>
    <n v="80"/>
    <n v="1"/>
    <n v="4"/>
    <n v="3"/>
    <n v="4"/>
    <n v="3"/>
    <n v="2"/>
    <n v="0"/>
    <n v="2"/>
    <x v="0"/>
    <x v="2"/>
    <x v="0"/>
  </r>
  <r>
    <n v="41"/>
    <x v="0"/>
    <s v="Travel_Rarely"/>
    <n v="1085"/>
    <x v="1"/>
    <n v="2"/>
    <n v="4"/>
    <s v="Life Sciences"/>
    <n v="1"/>
    <n v="927"/>
    <n v="2"/>
    <s v="Female"/>
    <n v="57"/>
    <n v="1"/>
    <n v="1"/>
    <x v="2"/>
    <n v="4"/>
    <s v="Divorced"/>
    <n v="2778"/>
    <n v="17725"/>
    <n v="4"/>
    <s v="Y"/>
    <x v="0"/>
    <n v="13"/>
    <n v="3"/>
    <n v="3"/>
    <n v="80"/>
    <n v="1"/>
    <n v="10"/>
    <n v="1"/>
    <n v="2"/>
    <n v="7"/>
    <n v="7"/>
    <n v="1"/>
    <n v="0"/>
    <x v="0"/>
    <x v="0"/>
    <x v="1"/>
  </r>
  <r>
    <n v="28"/>
    <x v="1"/>
    <s v="Travel_Rarely"/>
    <n v="995"/>
    <x v="1"/>
    <n v="9"/>
    <n v="3"/>
    <s v="Medical"/>
    <n v="1"/>
    <n v="930"/>
    <n v="3"/>
    <s v="Female"/>
    <n v="77"/>
    <n v="3"/>
    <n v="1"/>
    <x v="1"/>
    <n v="3"/>
    <s v="Divorced"/>
    <n v="2377"/>
    <n v="9834"/>
    <n v="5"/>
    <s v="Y"/>
    <x v="1"/>
    <n v="18"/>
    <n v="3"/>
    <n v="2"/>
    <n v="80"/>
    <n v="1"/>
    <n v="6"/>
    <n v="2"/>
    <n v="3"/>
    <n v="2"/>
    <n v="2"/>
    <n v="2"/>
    <n v="2"/>
    <x v="1"/>
    <x v="2"/>
    <x v="1"/>
  </r>
  <r>
    <n v="39"/>
    <x v="0"/>
    <s v="Travel_Rarely"/>
    <n v="1122"/>
    <x v="1"/>
    <n v="6"/>
    <n v="3"/>
    <s v="Medical"/>
    <n v="1"/>
    <n v="932"/>
    <n v="4"/>
    <s v="Male"/>
    <n v="70"/>
    <n v="3"/>
    <n v="1"/>
    <x v="2"/>
    <n v="1"/>
    <s v="Married"/>
    <n v="2404"/>
    <n v="4303"/>
    <n v="7"/>
    <s v="Y"/>
    <x v="0"/>
    <n v="21"/>
    <n v="4"/>
    <n v="4"/>
    <n v="80"/>
    <n v="0"/>
    <n v="8"/>
    <n v="2"/>
    <n v="1"/>
    <n v="2"/>
    <n v="2"/>
    <n v="2"/>
    <n v="2"/>
    <x v="0"/>
    <x v="1"/>
    <x v="1"/>
  </r>
  <r>
    <n v="27"/>
    <x v="1"/>
    <s v="Travel_Rarely"/>
    <n v="618"/>
    <x v="1"/>
    <n v="4"/>
    <n v="3"/>
    <s v="Life Sciences"/>
    <n v="1"/>
    <n v="933"/>
    <n v="2"/>
    <s v="Female"/>
    <n v="76"/>
    <n v="3"/>
    <n v="1"/>
    <x v="1"/>
    <n v="3"/>
    <s v="Single"/>
    <n v="2318"/>
    <n v="17808"/>
    <n v="1"/>
    <s v="Y"/>
    <x v="1"/>
    <n v="19"/>
    <n v="3"/>
    <n v="3"/>
    <n v="80"/>
    <n v="0"/>
    <n v="1"/>
    <n v="2"/>
    <n v="3"/>
    <n v="1"/>
    <n v="1"/>
    <n v="0"/>
    <n v="0"/>
    <x v="1"/>
    <x v="2"/>
    <x v="1"/>
  </r>
  <r>
    <n v="34"/>
    <x v="1"/>
    <s v="Travel_Rarely"/>
    <n v="546"/>
    <x v="1"/>
    <n v="10"/>
    <n v="3"/>
    <s v="Life Sciences"/>
    <n v="1"/>
    <n v="934"/>
    <n v="2"/>
    <s v="Male"/>
    <n v="83"/>
    <n v="3"/>
    <n v="1"/>
    <x v="2"/>
    <n v="2"/>
    <s v="Divorced"/>
    <n v="2008"/>
    <n v="6896"/>
    <n v="1"/>
    <s v="Y"/>
    <x v="1"/>
    <n v="14"/>
    <n v="3"/>
    <n v="2"/>
    <n v="80"/>
    <n v="2"/>
    <n v="1"/>
    <n v="3"/>
    <n v="3"/>
    <n v="1"/>
    <n v="0"/>
    <n v="1"/>
    <n v="0"/>
    <x v="1"/>
    <x v="1"/>
    <x v="1"/>
  </r>
  <r>
    <n v="42"/>
    <x v="1"/>
    <s v="Travel_Rarely"/>
    <n v="462"/>
    <x v="0"/>
    <n v="14"/>
    <n v="2"/>
    <s v="Medical"/>
    <n v="1"/>
    <n v="936"/>
    <n v="3"/>
    <s v="Female"/>
    <n v="68"/>
    <n v="2"/>
    <n v="2"/>
    <x v="0"/>
    <n v="3"/>
    <s v="Single"/>
    <n v="6244"/>
    <n v="7824"/>
    <n v="7"/>
    <s v="Y"/>
    <x v="1"/>
    <n v="17"/>
    <n v="3"/>
    <n v="1"/>
    <n v="80"/>
    <n v="0"/>
    <n v="10"/>
    <n v="6"/>
    <n v="3"/>
    <n v="5"/>
    <n v="4"/>
    <n v="0"/>
    <n v="3"/>
    <x v="1"/>
    <x v="0"/>
    <x v="0"/>
  </r>
  <r>
    <n v="33"/>
    <x v="1"/>
    <s v="Travel_Rarely"/>
    <n v="1198"/>
    <x v="1"/>
    <n v="1"/>
    <n v="4"/>
    <s v="Other"/>
    <n v="1"/>
    <n v="939"/>
    <n v="3"/>
    <s v="Male"/>
    <n v="100"/>
    <n v="2"/>
    <n v="1"/>
    <x v="1"/>
    <n v="1"/>
    <s v="Single"/>
    <n v="2799"/>
    <n v="3339"/>
    <n v="3"/>
    <s v="Y"/>
    <x v="0"/>
    <n v="11"/>
    <n v="3"/>
    <n v="2"/>
    <n v="80"/>
    <n v="0"/>
    <n v="6"/>
    <n v="1"/>
    <n v="3"/>
    <n v="3"/>
    <n v="2"/>
    <n v="0"/>
    <n v="2"/>
    <x v="1"/>
    <x v="1"/>
    <x v="1"/>
  </r>
  <r>
    <n v="58"/>
    <x v="1"/>
    <s v="Travel_Rarely"/>
    <n v="1272"/>
    <x v="1"/>
    <n v="5"/>
    <n v="3"/>
    <s v="Technical Degree"/>
    <n v="1"/>
    <n v="940"/>
    <n v="3"/>
    <s v="Female"/>
    <n v="37"/>
    <n v="2"/>
    <n v="3"/>
    <x v="4"/>
    <n v="2"/>
    <s v="Divorced"/>
    <n v="10552"/>
    <n v="9255"/>
    <n v="2"/>
    <s v="Y"/>
    <x v="0"/>
    <n v="13"/>
    <n v="3"/>
    <n v="4"/>
    <n v="80"/>
    <n v="1"/>
    <n v="24"/>
    <n v="3"/>
    <n v="3"/>
    <n v="6"/>
    <n v="0"/>
    <n v="0"/>
    <n v="4"/>
    <x v="1"/>
    <x v="3"/>
    <x v="2"/>
  </r>
  <r>
    <n v="31"/>
    <x v="1"/>
    <s v="Travel_Rarely"/>
    <n v="154"/>
    <x v="0"/>
    <n v="7"/>
    <n v="4"/>
    <s v="Life Sciences"/>
    <n v="1"/>
    <n v="941"/>
    <n v="2"/>
    <s v="Male"/>
    <n v="41"/>
    <n v="2"/>
    <n v="1"/>
    <x v="6"/>
    <n v="3"/>
    <s v="Married"/>
    <n v="2329"/>
    <n v="11737"/>
    <n v="3"/>
    <s v="Y"/>
    <x v="1"/>
    <n v="15"/>
    <n v="3"/>
    <n v="2"/>
    <n v="80"/>
    <n v="0"/>
    <n v="13"/>
    <n v="2"/>
    <n v="4"/>
    <n v="7"/>
    <n v="7"/>
    <n v="5"/>
    <n v="2"/>
    <x v="1"/>
    <x v="1"/>
    <x v="1"/>
  </r>
  <r>
    <n v="35"/>
    <x v="1"/>
    <s v="Travel_Rarely"/>
    <n v="1137"/>
    <x v="1"/>
    <n v="21"/>
    <n v="1"/>
    <s v="Life Sciences"/>
    <n v="1"/>
    <n v="942"/>
    <n v="4"/>
    <s v="Female"/>
    <n v="51"/>
    <n v="3"/>
    <n v="2"/>
    <x v="4"/>
    <n v="4"/>
    <s v="Married"/>
    <n v="4014"/>
    <n v="19170"/>
    <n v="1"/>
    <s v="Y"/>
    <x v="0"/>
    <n v="25"/>
    <n v="4"/>
    <n v="4"/>
    <n v="80"/>
    <n v="1"/>
    <n v="10"/>
    <n v="2"/>
    <n v="1"/>
    <n v="10"/>
    <n v="6"/>
    <n v="0"/>
    <n v="7"/>
    <x v="1"/>
    <x v="1"/>
    <x v="0"/>
  </r>
  <r>
    <n v="49"/>
    <x v="1"/>
    <s v="Travel_Rarely"/>
    <n v="527"/>
    <x v="1"/>
    <n v="8"/>
    <n v="2"/>
    <s v="Other"/>
    <n v="1"/>
    <n v="944"/>
    <n v="1"/>
    <s v="Female"/>
    <n v="51"/>
    <n v="3"/>
    <n v="3"/>
    <x v="2"/>
    <n v="2"/>
    <s v="Married"/>
    <n v="7403"/>
    <n v="22477"/>
    <n v="4"/>
    <s v="Y"/>
    <x v="1"/>
    <n v="11"/>
    <n v="3"/>
    <n v="3"/>
    <n v="80"/>
    <n v="1"/>
    <n v="29"/>
    <n v="3"/>
    <n v="2"/>
    <n v="26"/>
    <n v="9"/>
    <n v="1"/>
    <n v="7"/>
    <x v="1"/>
    <x v="0"/>
    <x v="2"/>
  </r>
  <r>
    <n v="48"/>
    <x v="1"/>
    <s v="Travel_Rarely"/>
    <n v="1469"/>
    <x v="1"/>
    <n v="20"/>
    <n v="4"/>
    <s v="Medical"/>
    <n v="1"/>
    <n v="945"/>
    <n v="4"/>
    <s v="Male"/>
    <n v="51"/>
    <n v="3"/>
    <n v="1"/>
    <x v="1"/>
    <n v="3"/>
    <s v="Married"/>
    <n v="2259"/>
    <n v="5543"/>
    <n v="4"/>
    <s v="Y"/>
    <x v="1"/>
    <n v="17"/>
    <n v="3"/>
    <n v="1"/>
    <n v="80"/>
    <n v="2"/>
    <n v="13"/>
    <n v="2"/>
    <n v="2"/>
    <n v="0"/>
    <n v="0"/>
    <n v="0"/>
    <n v="0"/>
    <x v="1"/>
    <x v="0"/>
    <x v="1"/>
  </r>
  <r>
    <n v="31"/>
    <x v="1"/>
    <s v="Non-Travel"/>
    <n v="1188"/>
    <x v="0"/>
    <n v="20"/>
    <n v="2"/>
    <s v="Marketing"/>
    <n v="1"/>
    <n v="947"/>
    <n v="4"/>
    <s v="Female"/>
    <n v="45"/>
    <n v="3"/>
    <n v="2"/>
    <x v="0"/>
    <n v="3"/>
    <s v="Married"/>
    <n v="6932"/>
    <n v="24406"/>
    <n v="1"/>
    <s v="Y"/>
    <x v="1"/>
    <n v="13"/>
    <n v="3"/>
    <n v="4"/>
    <n v="80"/>
    <n v="1"/>
    <n v="9"/>
    <n v="2"/>
    <n v="2"/>
    <n v="9"/>
    <n v="8"/>
    <n v="0"/>
    <n v="0"/>
    <x v="1"/>
    <x v="1"/>
    <x v="0"/>
  </r>
  <r>
    <n v="36"/>
    <x v="1"/>
    <s v="Travel_Rarely"/>
    <n v="188"/>
    <x v="1"/>
    <n v="7"/>
    <n v="4"/>
    <s v="Other"/>
    <n v="1"/>
    <n v="949"/>
    <n v="2"/>
    <s v="Male"/>
    <n v="65"/>
    <n v="3"/>
    <n v="1"/>
    <x v="1"/>
    <n v="4"/>
    <s v="Single"/>
    <n v="4678"/>
    <n v="23293"/>
    <n v="2"/>
    <s v="Y"/>
    <x v="1"/>
    <n v="18"/>
    <n v="3"/>
    <n v="3"/>
    <n v="80"/>
    <n v="0"/>
    <n v="8"/>
    <n v="6"/>
    <n v="3"/>
    <n v="6"/>
    <n v="2"/>
    <n v="0"/>
    <n v="1"/>
    <x v="1"/>
    <x v="1"/>
    <x v="0"/>
  </r>
  <r>
    <n v="38"/>
    <x v="1"/>
    <s v="Travel_Rarely"/>
    <n v="1333"/>
    <x v="1"/>
    <n v="1"/>
    <n v="3"/>
    <s v="Technical Degree"/>
    <n v="1"/>
    <n v="950"/>
    <n v="4"/>
    <s v="Female"/>
    <n v="80"/>
    <n v="3"/>
    <n v="3"/>
    <x v="7"/>
    <n v="1"/>
    <s v="Married"/>
    <n v="13582"/>
    <n v="16292"/>
    <n v="1"/>
    <s v="Y"/>
    <x v="1"/>
    <n v="13"/>
    <n v="3"/>
    <n v="2"/>
    <n v="80"/>
    <n v="1"/>
    <n v="15"/>
    <n v="3"/>
    <n v="3"/>
    <n v="15"/>
    <n v="12"/>
    <n v="5"/>
    <n v="11"/>
    <x v="1"/>
    <x v="1"/>
    <x v="2"/>
  </r>
  <r>
    <n v="32"/>
    <x v="1"/>
    <s v="Non-Travel"/>
    <n v="1184"/>
    <x v="1"/>
    <n v="1"/>
    <n v="3"/>
    <s v="Life Sciences"/>
    <n v="1"/>
    <n v="951"/>
    <n v="3"/>
    <s v="Female"/>
    <n v="70"/>
    <n v="2"/>
    <n v="1"/>
    <x v="2"/>
    <n v="2"/>
    <s v="Married"/>
    <n v="2332"/>
    <n v="3974"/>
    <n v="6"/>
    <s v="Y"/>
    <x v="1"/>
    <n v="20"/>
    <n v="4"/>
    <n v="3"/>
    <n v="80"/>
    <n v="0"/>
    <n v="5"/>
    <n v="3"/>
    <n v="3"/>
    <n v="3"/>
    <n v="0"/>
    <n v="0"/>
    <n v="2"/>
    <x v="1"/>
    <x v="1"/>
    <x v="1"/>
  </r>
  <r>
    <n v="25"/>
    <x v="0"/>
    <s v="Travel_Rarely"/>
    <n v="867"/>
    <x v="0"/>
    <n v="19"/>
    <n v="2"/>
    <s v="Marketing"/>
    <n v="1"/>
    <n v="952"/>
    <n v="3"/>
    <s v="Male"/>
    <n v="36"/>
    <n v="2"/>
    <n v="1"/>
    <x v="6"/>
    <n v="2"/>
    <s v="Married"/>
    <n v="2413"/>
    <n v="18798"/>
    <n v="1"/>
    <s v="Y"/>
    <x v="0"/>
    <n v="18"/>
    <n v="3"/>
    <n v="3"/>
    <n v="80"/>
    <n v="3"/>
    <n v="1"/>
    <n v="2"/>
    <n v="3"/>
    <n v="1"/>
    <n v="0"/>
    <n v="0"/>
    <n v="0"/>
    <x v="0"/>
    <x v="2"/>
    <x v="1"/>
  </r>
  <r>
    <n v="40"/>
    <x v="1"/>
    <s v="Travel_Rarely"/>
    <n v="658"/>
    <x v="0"/>
    <n v="10"/>
    <n v="4"/>
    <s v="Marketing"/>
    <n v="1"/>
    <n v="954"/>
    <n v="1"/>
    <s v="Male"/>
    <n v="67"/>
    <n v="2"/>
    <n v="3"/>
    <x v="0"/>
    <n v="2"/>
    <s v="Divorced"/>
    <n v="9705"/>
    <n v="20652"/>
    <n v="2"/>
    <s v="Y"/>
    <x v="1"/>
    <n v="12"/>
    <n v="3"/>
    <n v="2"/>
    <n v="80"/>
    <n v="1"/>
    <n v="11"/>
    <n v="2"/>
    <n v="2"/>
    <n v="1"/>
    <n v="0"/>
    <n v="0"/>
    <n v="0"/>
    <x v="1"/>
    <x v="0"/>
    <x v="2"/>
  </r>
  <r>
    <n v="26"/>
    <x v="1"/>
    <s v="Travel_Frequently"/>
    <n v="1283"/>
    <x v="0"/>
    <n v="1"/>
    <n v="3"/>
    <s v="Medical"/>
    <n v="1"/>
    <n v="956"/>
    <n v="3"/>
    <s v="Male"/>
    <n v="52"/>
    <n v="2"/>
    <n v="2"/>
    <x v="0"/>
    <n v="1"/>
    <s v="Single"/>
    <n v="4294"/>
    <n v="11148"/>
    <n v="1"/>
    <s v="Y"/>
    <x v="1"/>
    <n v="12"/>
    <n v="3"/>
    <n v="2"/>
    <n v="80"/>
    <n v="0"/>
    <n v="7"/>
    <n v="2"/>
    <n v="3"/>
    <n v="7"/>
    <n v="7"/>
    <n v="0"/>
    <n v="7"/>
    <x v="1"/>
    <x v="2"/>
    <x v="0"/>
  </r>
  <r>
    <n v="41"/>
    <x v="1"/>
    <s v="Travel_Rarely"/>
    <n v="263"/>
    <x v="1"/>
    <n v="6"/>
    <n v="3"/>
    <s v="Medical"/>
    <n v="1"/>
    <n v="957"/>
    <n v="4"/>
    <s v="Male"/>
    <n v="59"/>
    <n v="3"/>
    <n v="1"/>
    <x v="2"/>
    <n v="1"/>
    <s v="Single"/>
    <n v="4721"/>
    <n v="3119"/>
    <n v="2"/>
    <s v="Y"/>
    <x v="0"/>
    <n v="13"/>
    <n v="3"/>
    <n v="3"/>
    <n v="80"/>
    <n v="0"/>
    <n v="20"/>
    <n v="3"/>
    <n v="3"/>
    <n v="18"/>
    <n v="13"/>
    <n v="2"/>
    <n v="17"/>
    <x v="1"/>
    <x v="0"/>
    <x v="0"/>
  </r>
  <r>
    <n v="36"/>
    <x v="1"/>
    <s v="Travel_Rarely"/>
    <n v="938"/>
    <x v="1"/>
    <n v="2"/>
    <n v="4"/>
    <s v="Medical"/>
    <n v="1"/>
    <n v="958"/>
    <n v="3"/>
    <s v="Male"/>
    <n v="79"/>
    <n v="3"/>
    <n v="1"/>
    <x v="2"/>
    <n v="3"/>
    <s v="Single"/>
    <n v="2519"/>
    <n v="12287"/>
    <n v="4"/>
    <s v="Y"/>
    <x v="1"/>
    <n v="21"/>
    <n v="4"/>
    <n v="3"/>
    <n v="80"/>
    <n v="0"/>
    <n v="16"/>
    <n v="6"/>
    <n v="3"/>
    <n v="11"/>
    <n v="8"/>
    <n v="3"/>
    <n v="9"/>
    <x v="1"/>
    <x v="1"/>
    <x v="1"/>
  </r>
  <r>
    <n v="19"/>
    <x v="0"/>
    <s v="Travel_Rarely"/>
    <n v="419"/>
    <x v="0"/>
    <n v="21"/>
    <n v="3"/>
    <s v="Other"/>
    <n v="1"/>
    <n v="959"/>
    <n v="4"/>
    <s v="Male"/>
    <n v="37"/>
    <n v="2"/>
    <n v="1"/>
    <x v="6"/>
    <n v="2"/>
    <s v="Single"/>
    <n v="2121"/>
    <n v="9947"/>
    <n v="1"/>
    <s v="Y"/>
    <x v="0"/>
    <n v="13"/>
    <n v="3"/>
    <n v="2"/>
    <n v="80"/>
    <n v="0"/>
    <n v="1"/>
    <n v="3"/>
    <n v="4"/>
    <n v="1"/>
    <n v="0"/>
    <n v="0"/>
    <n v="0"/>
    <x v="0"/>
    <x v="2"/>
    <x v="1"/>
  </r>
  <r>
    <n v="20"/>
    <x v="0"/>
    <s v="Travel_Rarely"/>
    <n v="129"/>
    <x v="1"/>
    <n v="4"/>
    <n v="3"/>
    <s v="Technical Degree"/>
    <n v="1"/>
    <n v="960"/>
    <n v="1"/>
    <s v="Male"/>
    <n v="84"/>
    <n v="3"/>
    <n v="1"/>
    <x v="2"/>
    <n v="1"/>
    <s v="Single"/>
    <n v="2973"/>
    <n v="13008"/>
    <n v="1"/>
    <s v="Y"/>
    <x v="1"/>
    <n v="19"/>
    <n v="3"/>
    <n v="2"/>
    <n v="80"/>
    <n v="0"/>
    <n v="1"/>
    <n v="2"/>
    <n v="3"/>
    <n v="1"/>
    <n v="0"/>
    <n v="0"/>
    <n v="0"/>
    <x v="0"/>
    <x v="2"/>
    <x v="1"/>
  </r>
  <r>
    <n v="31"/>
    <x v="1"/>
    <s v="Travel_Rarely"/>
    <n v="616"/>
    <x v="1"/>
    <n v="12"/>
    <n v="3"/>
    <s v="Medical"/>
    <n v="1"/>
    <n v="961"/>
    <n v="4"/>
    <s v="Female"/>
    <n v="41"/>
    <n v="3"/>
    <n v="2"/>
    <x v="4"/>
    <n v="4"/>
    <s v="Married"/>
    <n v="5855"/>
    <n v="17369"/>
    <n v="0"/>
    <s v="Y"/>
    <x v="0"/>
    <n v="11"/>
    <n v="3"/>
    <n v="3"/>
    <n v="80"/>
    <n v="2"/>
    <n v="10"/>
    <n v="2"/>
    <n v="1"/>
    <n v="9"/>
    <n v="7"/>
    <n v="8"/>
    <n v="5"/>
    <x v="1"/>
    <x v="1"/>
    <x v="0"/>
  </r>
  <r>
    <n v="40"/>
    <x v="1"/>
    <s v="Travel_Frequently"/>
    <n v="1469"/>
    <x v="1"/>
    <n v="9"/>
    <n v="4"/>
    <s v="Medical"/>
    <n v="1"/>
    <n v="964"/>
    <n v="4"/>
    <s v="Male"/>
    <n v="35"/>
    <n v="3"/>
    <n v="1"/>
    <x v="1"/>
    <n v="2"/>
    <s v="Divorced"/>
    <n v="3617"/>
    <n v="25063"/>
    <n v="8"/>
    <s v="Y"/>
    <x v="0"/>
    <n v="14"/>
    <n v="3"/>
    <n v="4"/>
    <n v="80"/>
    <n v="1"/>
    <n v="3"/>
    <n v="2"/>
    <n v="3"/>
    <n v="1"/>
    <n v="1"/>
    <n v="0"/>
    <n v="0"/>
    <x v="1"/>
    <x v="0"/>
    <x v="0"/>
  </r>
  <r>
    <n v="32"/>
    <x v="1"/>
    <s v="Travel_Rarely"/>
    <n v="498"/>
    <x v="1"/>
    <n v="3"/>
    <n v="4"/>
    <s v="Medical"/>
    <n v="1"/>
    <n v="966"/>
    <n v="3"/>
    <s v="Female"/>
    <n v="93"/>
    <n v="3"/>
    <n v="2"/>
    <x v="3"/>
    <n v="1"/>
    <s v="Married"/>
    <n v="6725"/>
    <n v="13554"/>
    <n v="1"/>
    <s v="Y"/>
    <x v="1"/>
    <n v="12"/>
    <n v="3"/>
    <n v="3"/>
    <n v="80"/>
    <n v="1"/>
    <n v="8"/>
    <n v="2"/>
    <n v="4"/>
    <n v="8"/>
    <n v="7"/>
    <n v="6"/>
    <n v="3"/>
    <x v="1"/>
    <x v="1"/>
    <x v="0"/>
  </r>
  <r>
    <n v="36"/>
    <x v="0"/>
    <s v="Travel_Rarely"/>
    <n v="530"/>
    <x v="0"/>
    <n v="3"/>
    <n v="1"/>
    <s v="Life Sciences"/>
    <n v="1"/>
    <n v="967"/>
    <n v="3"/>
    <s v="Male"/>
    <n v="51"/>
    <n v="2"/>
    <n v="3"/>
    <x v="0"/>
    <n v="4"/>
    <s v="Married"/>
    <n v="10325"/>
    <n v="5518"/>
    <n v="1"/>
    <s v="Y"/>
    <x v="0"/>
    <n v="11"/>
    <n v="3"/>
    <n v="1"/>
    <n v="80"/>
    <n v="1"/>
    <n v="16"/>
    <n v="6"/>
    <n v="3"/>
    <n v="16"/>
    <n v="7"/>
    <n v="3"/>
    <n v="7"/>
    <x v="0"/>
    <x v="1"/>
    <x v="2"/>
  </r>
  <r>
    <n v="33"/>
    <x v="1"/>
    <s v="Travel_Rarely"/>
    <n v="1069"/>
    <x v="1"/>
    <n v="1"/>
    <n v="3"/>
    <s v="Life Sciences"/>
    <n v="1"/>
    <n v="969"/>
    <n v="2"/>
    <s v="Female"/>
    <n v="42"/>
    <n v="2"/>
    <n v="2"/>
    <x v="4"/>
    <n v="4"/>
    <s v="Single"/>
    <n v="6949"/>
    <n v="12291"/>
    <n v="0"/>
    <s v="Y"/>
    <x v="1"/>
    <n v="14"/>
    <n v="3"/>
    <n v="1"/>
    <n v="80"/>
    <n v="0"/>
    <n v="6"/>
    <n v="3"/>
    <n v="3"/>
    <n v="5"/>
    <n v="0"/>
    <n v="1"/>
    <n v="4"/>
    <x v="1"/>
    <x v="1"/>
    <x v="0"/>
  </r>
  <r>
    <n v="37"/>
    <x v="0"/>
    <s v="Travel_Rarely"/>
    <n v="625"/>
    <x v="0"/>
    <n v="1"/>
    <n v="4"/>
    <s v="Life Sciences"/>
    <n v="1"/>
    <n v="970"/>
    <n v="1"/>
    <s v="Male"/>
    <n v="46"/>
    <n v="2"/>
    <n v="3"/>
    <x v="0"/>
    <n v="3"/>
    <s v="Married"/>
    <n v="10609"/>
    <n v="14922"/>
    <n v="5"/>
    <s v="Y"/>
    <x v="1"/>
    <n v="11"/>
    <n v="3"/>
    <n v="3"/>
    <n v="80"/>
    <n v="0"/>
    <n v="17"/>
    <n v="2"/>
    <n v="1"/>
    <n v="14"/>
    <n v="1"/>
    <n v="11"/>
    <n v="7"/>
    <x v="0"/>
    <x v="1"/>
    <x v="2"/>
  </r>
  <r>
    <n v="45"/>
    <x v="1"/>
    <s v="Non-Travel"/>
    <n v="805"/>
    <x v="1"/>
    <n v="4"/>
    <n v="2"/>
    <s v="Life Sciences"/>
    <n v="1"/>
    <n v="972"/>
    <n v="3"/>
    <s v="Male"/>
    <n v="57"/>
    <n v="3"/>
    <n v="2"/>
    <x v="2"/>
    <n v="2"/>
    <s v="Married"/>
    <n v="4447"/>
    <n v="23163"/>
    <n v="1"/>
    <s v="Y"/>
    <x v="1"/>
    <n v="12"/>
    <n v="3"/>
    <n v="2"/>
    <n v="80"/>
    <n v="0"/>
    <n v="9"/>
    <n v="5"/>
    <n v="2"/>
    <n v="9"/>
    <n v="7"/>
    <n v="0"/>
    <n v="8"/>
    <x v="1"/>
    <x v="0"/>
    <x v="0"/>
  </r>
  <r>
    <n v="29"/>
    <x v="1"/>
    <s v="Travel_Frequently"/>
    <n v="1404"/>
    <x v="0"/>
    <n v="20"/>
    <n v="3"/>
    <s v="Technical Degree"/>
    <n v="1"/>
    <n v="974"/>
    <n v="3"/>
    <s v="Female"/>
    <n v="84"/>
    <n v="3"/>
    <n v="1"/>
    <x v="6"/>
    <n v="4"/>
    <s v="Married"/>
    <n v="2157"/>
    <n v="18203"/>
    <n v="1"/>
    <s v="Y"/>
    <x v="1"/>
    <n v="15"/>
    <n v="3"/>
    <n v="2"/>
    <n v="80"/>
    <n v="1"/>
    <n v="3"/>
    <n v="5"/>
    <n v="3"/>
    <n v="3"/>
    <n v="1"/>
    <n v="0"/>
    <n v="2"/>
    <x v="1"/>
    <x v="2"/>
    <x v="1"/>
  </r>
  <r>
    <n v="35"/>
    <x v="1"/>
    <s v="Travel_Rarely"/>
    <n v="1219"/>
    <x v="0"/>
    <n v="18"/>
    <n v="3"/>
    <s v="Medical"/>
    <n v="1"/>
    <n v="975"/>
    <n v="3"/>
    <s v="Female"/>
    <n v="86"/>
    <n v="3"/>
    <n v="2"/>
    <x v="0"/>
    <n v="3"/>
    <s v="Married"/>
    <n v="4601"/>
    <n v="6179"/>
    <n v="1"/>
    <s v="Y"/>
    <x v="1"/>
    <n v="16"/>
    <n v="3"/>
    <n v="2"/>
    <n v="80"/>
    <n v="0"/>
    <n v="5"/>
    <n v="3"/>
    <n v="3"/>
    <n v="5"/>
    <n v="2"/>
    <n v="1"/>
    <n v="0"/>
    <x v="1"/>
    <x v="1"/>
    <x v="0"/>
  </r>
  <r>
    <n v="52"/>
    <x v="1"/>
    <s v="Travel_Rarely"/>
    <n v="1053"/>
    <x v="1"/>
    <n v="1"/>
    <n v="2"/>
    <s v="Life Sciences"/>
    <n v="1"/>
    <n v="976"/>
    <n v="4"/>
    <s v="Male"/>
    <n v="70"/>
    <n v="3"/>
    <n v="4"/>
    <x v="5"/>
    <n v="4"/>
    <s v="Married"/>
    <n v="17099"/>
    <n v="13829"/>
    <n v="2"/>
    <s v="Y"/>
    <x v="1"/>
    <n v="15"/>
    <n v="3"/>
    <n v="2"/>
    <n v="80"/>
    <n v="1"/>
    <n v="26"/>
    <n v="2"/>
    <n v="2"/>
    <n v="9"/>
    <n v="8"/>
    <n v="7"/>
    <n v="8"/>
    <x v="1"/>
    <x v="3"/>
    <x v="2"/>
  </r>
  <r>
    <n v="58"/>
    <x v="0"/>
    <s v="Travel_Rarely"/>
    <n v="289"/>
    <x v="1"/>
    <n v="2"/>
    <n v="3"/>
    <s v="Technical Degree"/>
    <n v="1"/>
    <n v="977"/>
    <n v="4"/>
    <s v="Male"/>
    <n v="51"/>
    <n v="3"/>
    <n v="1"/>
    <x v="1"/>
    <n v="3"/>
    <s v="Single"/>
    <n v="2479"/>
    <n v="26227"/>
    <n v="4"/>
    <s v="Y"/>
    <x v="1"/>
    <n v="24"/>
    <n v="4"/>
    <n v="1"/>
    <n v="80"/>
    <n v="0"/>
    <n v="7"/>
    <n v="4"/>
    <n v="3"/>
    <n v="1"/>
    <n v="0"/>
    <n v="0"/>
    <n v="0"/>
    <x v="0"/>
    <x v="3"/>
    <x v="1"/>
  </r>
  <r>
    <n v="53"/>
    <x v="1"/>
    <s v="Travel_Rarely"/>
    <n v="1376"/>
    <x v="0"/>
    <n v="2"/>
    <n v="2"/>
    <s v="Medical"/>
    <n v="1"/>
    <n v="981"/>
    <n v="3"/>
    <s v="Male"/>
    <n v="45"/>
    <n v="3"/>
    <n v="4"/>
    <x v="5"/>
    <n v="3"/>
    <s v="Divorced"/>
    <n v="14852"/>
    <n v="13938"/>
    <n v="6"/>
    <s v="Y"/>
    <x v="1"/>
    <n v="13"/>
    <n v="3"/>
    <n v="3"/>
    <n v="80"/>
    <n v="1"/>
    <n v="22"/>
    <n v="3"/>
    <n v="4"/>
    <n v="17"/>
    <n v="13"/>
    <n v="15"/>
    <n v="2"/>
    <x v="1"/>
    <x v="3"/>
    <x v="2"/>
  </r>
  <r>
    <n v="30"/>
    <x v="1"/>
    <s v="Travel_Rarely"/>
    <n v="231"/>
    <x v="0"/>
    <n v="8"/>
    <n v="2"/>
    <s v="Other"/>
    <n v="1"/>
    <n v="982"/>
    <n v="3"/>
    <s v="Male"/>
    <n v="62"/>
    <n v="3"/>
    <n v="3"/>
    <x v="0"/>
    <n v="3"/>
    <s v="Divorced"/>
    <n v="7264"/>
    <n v="9977"/>
    <n v="5"/>
    <s v="Y"/>
    <x v="1"/>
    <n v="11"/>
    <n v="3"/>
    <n v="1"/>
    <n v="80"/>
    <n v="1"/>
    <n v="10"/>
    <n v="2"/>
    <n v="4"/>
    <n v="8"/>
    <n v="4"/>
    <n v="7"/>
    <n v="7"/>
    <x v="1"/>
    <x v="1"/>
    <x v="2"/>
  </r>
  <r>
    <n v="38"/>
    <x v="1"/>
    <s v="Non-Travel"/>
    <n v="152"/>
    <x v="0"/>
    <n v="10"/>
    <n v="3"/>
    <s v="Technical Degree"/>
    <n v="1"/>
    <n v="983"/>
    <n v="3"/>
    <s v="Female"/>
    <n v="85"/>
    <n v="3"/>
    <n v="2"/>
    <x v="0"/>
    <n v="4"/>
    <s v="Single"/>
    <n v="5666"/>
    <n v="19899"/>
    <n v="1"/>
    <s v="Y"/>
    <x v="0"/>
    <n v="13"/>
    <n v="3"/>
    <n v="2"/>
    <n v="80"/>
    <n v="0"/>
    <n v="6"/>
    <n v="1"/>
    <n v="3"/>
    <n v="5"/>
    <n v="3"/>
    <n v="1"/>
    <n v="3"/>
    <x v="1"/>
    <x v="1"/>
    <x v="0"/>
  </r>
  <r>
    <n v="35"/>
    <x v="1"/>
    <s v="Travel_Rarely"/>
    <n v="882"/>
    <x v="0"/>
    <n v="3"/>
    <n v="4"/>
    <s v="Life Sciences"/>
    <n v="1"/>
    <n v="984"/>
    <n v="4"/>
    <s v="Male"/>
    <n v="92"/>
    <n v="3"/>
    <n v="3"/>
    <x v="0"/>
    <n v="4"/>
    <s v="Divorced"/>
    <n v="7823"/>
    <n v="6812"/>
    <n v="6"/>
    <s v="Y"/>
    <x v="1"/>
    <n v="13"/>
    <n v="3"/>
    <n v="2"/>
    <n v="80"/>
    <n v="1"/>
    <n v="12"/>
    <n v="2"/>
    <n v="3"/>
    <n v="10"/>
    <n v="9"/>
    <n v="0"/>
    <n v="8"/>
    <x v="1"/>
    <x v="1"/>
    <x v="2"/>
  </r>
  <r>
    <n v="39"/>
    <x v="1"/>
    <s v="Travel_Rarely"/>
    <n v="903"/>
    <x v="0"/>
    <n v="2"/>
    <n v="5"/>
    <s v="Life Sciences"/>
    <n v="1"/>
    <n v="985"/>
    <n v="1"/>
    <s v="Male"/>
    <n v="41"/>
    <n v="4"/>
    <n v="3"/>
    <x v="0"/>
    <n v="3"/>
    <s v="Single"/>
    <n v="7880"/>
    <n v="2560"/>
    <n v="0"/>
    <s v="Y"/>
    <x v="1"/>
    <n v="18"/>
    <n v="3"/>
    <n v="4"/>
    <n v="80"/>
    <n v="0"/>
    <n v="9"/>
    <n v="3"/>
    <n v="3"/>
    <n v="8"/>
    <n v="7"/>
    <n v="0"/>
    <n v="7"/>
    <x v="1"/>
    <x v="1"/>
    <x v="2"/>
  </r>
  <r>
    <n v="40"/>
    <x v="0"/>
    <s v="Non-Travel"/>
    <n v="1479"/>
    <x v="0"/>
    <n v="24"/>
    <n v="3"/>
    <s v="Life Sciences"/>
    <n v="1"/>
    <n v="986"/>
    <n v="2"/>
    <s v="Female"/>
    <n v="100"/>
    <n v="4"/>
    <n v="4"/>
    <x v="0"/>
    <n v="2"/>
    <s v="Single"/>
    <n v="13194"/>
    <n v="17071"/>
    <n v="4"/>
    <s v="Y"/>
    <x v="0"/>
    <n v="16"/>
    <n v="3"/>
    <n v="4"/>
    <n v="80"/>
    <n v="0"/>
    <n v="22"/>
    <n v="2"/>
    <n v="2"/>
    <n v="1"/>
    <n v="0"/>
    <n v="0"/>
    <n v="0"/>
    <x v="0"/>
    <x v="0"/>
    <x v="2"/>
  </r>
  <r>
    <n v="47"/>
    <x v="1"/>
    <s v="Travel_Frequently"/>
    <n v="1379"/>
    <x v="1"/>
    <n v="16"/>
    <n v="4"/>
    <s v="Medical"/>
    <n v="1"/>
    <n v="987"/>
    <n v="3"/>
    <s v="Male"/>
    <n v="64"/>
    <n v="4"/>
    <n v="2"/>
    <x v="3"/>
    <n v="3"/>
    <s v="Divorced"/>
    <n v="5067"/>
    <n v="6759"/>
    <n v="1"/>
    <s v="Y"/>
    <x v="0"/>
    <n v="19"/>
    <n v="3"/>
    <n v="3"/>
    <n v="80"/>
    <n v="0"/>
    <n v="20"/>
    <n v="3"/>
    <n v="4"/>
    <n v="19"/>
    <n v="10"/>
    <n v="2"/>
    <n v="7"/>
    <x v="1"/>
    <x v="0"/>
    <x v="0"/>
  </r>
  <r>
    <n v="36"/>
    <x v="1"/>
    <s v="Non-Travel"/>
    <n v="1229"/>
    <x v="0"/>
    <n v="8"/>
    <n v="4"/>
    <s v="Technical Degree"/>
    <n v="1"/>
    <n v="990"/>
    <n v="1"/>
    <s v="Male"/>
    <n v="84"/>
    <n v="3"/>
    <n v="2"/>
    <x v="0"/>
    <n v="4"/>
    <s v="Divorced"/>
    <n v="5079"/>
    <n v="25952"/>
    <n v="4"/>
    <s v="Y"/>
    <x v="1"/>
    <n v="13"/>
    <n v="3"/>
    <n v="4"/>
    <n v="80"/>
    <n v="2"/>
    <n v="12"/>
    <n v="3"/>
    <n v="3"/>
    <n v="7"/>
    <n v="7"/>
    <n v="0"/>
    <n v="7"/>
    <x v="1"/>
    <x v="1"/>
    <x v="0"/>
  </r>
  <r>
    <n v="31"/>
    <x v="0"/>
    <s v="Non-Travel"/>
    <n v="335"/>
    <x v="1"/>
    <n v="9"/>
    <n v="2"/>
    <s v="Medical"/>
    <n v="1"/>
    <n v="991"/>
    <n v="3"/>
    <s v="Male"/>
    <n v="46"/>
    <n v="2"/>
    <n v="1"/>
    <x v="1"/>
    <n v="1"/>
    <s v="Single"/>
    <n v="2321"/>
    <n v="10322"/>
    <n v="0"/>
    <s v="Y"/>
    <x v="0"/>
    <n v="22"/>
    <n v="4"/>
    <n v="1"/>
    <n v="80"/>
    <n v="0"/>
    <n v="4"/>
    <n v="0"/>
    <n v="3"/>
    <n v="3"/>
    <n v="2"/>
    <n v="1"/>
    <n v="2"/>
    <x v="0"/>
    <x v="1"/>
    <x v="1"/>
  </r>
  <r>
    <n v="33"/>
    <x v="1"/>
    <s v="Non-Travel"/>
    <n v="722"/>
    <x v="0"/>
    <n v="17"/>
    <n v="3"/>
    <s v="Life Sciences"/>
    <n v="1"/>
    <n v="992"/>
    <n v="4"/>
    <s v="Male"/>
    <n v="38"/>
    <n v="3"/>
    <n v="4"/>
    <x v="5"/>
    <n v="3"/>
    <s v="Single"/>
    <n v="17444"/>
    <n v="20489"/>
    <n v="1"/>
    <s v="Y"/>
    <x v="1"/>
    <n v="11"/>
    <n v="3"/>
    <n v="4"/>
    <n v="80"/>
    <n v="0"/>
    <n v="10"/>
    <n v="2"/>
    <n v="3"/>
    <n v="10"/>
    <n v="8"/>
    <n v="6"/>
    <n v="0"/>
    <x v="1"/>
    <x v="1"/>
    <x v="2"/>
  </r>
  <r>
    <n v="29"/>
    <x v="0"/>
    <s v="Travel_Rarely"/>
    <n v="906"/>
    <x v="1"/>
    <n v="10"/>
    <n v="3"/>
    <s v="Life Sciences"/>
    <n v="1"/>
    <n v="994"/>
    <n v="4"/>
    <s v="Female"/>
    <n v="92"/>
    <n v="2"/>
    <n v="1"/>
    <x v="1"/>
    <n v="1"/>
    <s v="Single"/>
    <n v="2404"/>
    <n v="11479"/>
    <n v="6"/>
    <s v="Y"/>
    <x v="0"/>
    <n v="20"/>
    <n v="4"/>
    <n v="3"/>
    <n v="80"/>
    <n v="0"/>
    <n v="3"/>
    <n v="5"/>
    <n v="3"/>
    <n v="0"/>
    <n v="0"/>
    <n v="0"/>
    <n v="0"/>
    <x v="0"/>
    <x v="2"/>
    <x v="1"/>
  </r>
  <r>
    <n v="33"/>
    <x v="1"/>
    <s v="Travel_Rarely"/>
    <n v="461"/>
    <x v="1"/>
    <n v="13"/>
    <n v="1"/>
    <s v="Life Sciences"/>
    <n v="1"/>
    <n v="995"/>
    <n v="2"/>
    <s v="Female"/>
    <n v="53"/>
    <n v="3"/>
    <n v="1"/>
    <x v="1"/>
    <n v="4"/>
    <s v="Single"/>
    <n v="3452"/>
    <n v="17241"/>
    <n v="3"/>
    <s v="Y"/>
    <x v="1"/>
    <n v="18"/>
    <n v="3"/>
    <n v="1"/>
    <n v="80"/>
    <n v="0"/>
    <n v="5"/>
    <n v="4"/>
    <n v="3"/>
    <n v="3"/>
    <n v="2"/>
    <n v="0"/>
    <n v="2"/>
    <x v="1"/>
    <x v="1"/>
    <x v="0"/>
  </r>
  <r>
    <n v="45"/>
    <x v="1"/>
    <s v="Travel_Rarely"/>
    <n v="974"/>
    <x v="1"/>
    <n v="1"/>
    <n v="4"/>
    <s v="Medical"/>
    <n v="1"/>
    <n v="996"/>
    <n v="4"/>
    <s v="Female"/>
    <n v="91"/>
    <n v="3"/>
    <n v="1"/>
    <x v="2"/>
    <n v="4"/>
    <s v="Divorced"/>
    <n v="2270"/>
    <n v="11005"/>
    <n v="3"/>
    <s v="Y"/>
    <x v="1"/>
    <n v="14"/>
    <n v="3"/>
    <n v="4"/>
    <n v="80"/>
    <n v="2"/>
    <n v="8"/>
    <n v="2"/>
    <n v="3"/>
    <n v="5"/>
    <n v="3"/>
    <n v="0"/>
    <n v="2"/>
    <x v="1"/>
    <x v="0"/>
    <x v="1"/>
  </r>
  <r>
    <n v="50"/>
    <x v="1"/>
    <s v="Travel_Rarely"/>
    <n v="1126"/>
    <x v="1"/>
    <n v="1"/>
    <n v="2"/>
    <s v="Medical"/>
    <n v="1"/>
    <n v="997"/>
    <n v="4"/>
    <s v="Male"/>
    <n v="66"/>
    <n v="3"/>
    <n v="4"/>
    <x v="7"/>
    <n v="4"/>
    <s v="Divorced"/>
    <n v="17399"/>
    <n v="6615"/>
    <n v="9"/>
    <s v="Y"/>
    <x v="1"/>
    <n v="22"/>
    <n v="4"/>
    <n v="3"/>
    <n v="80"/>
    <n v="1"/>
    <n v="32"/>
    <n v="1"/>
    <n v="2"/>
    <n v="5"/>
    <n v="4"/>
    <n v="1"/>
    <n v="3"/>
    <x v="1"/>
    <x v="3"/>
    <x v="2"/>
  </r>
  <r>
    <n v="33"/>
    <x v="1"/>
    <s v="Travel_Frequently"/>
    <n v="827"/>
    <x v="1"/>
    <n v="1"/>
    <n v="4"/>
    <s v="Other"/>
    <n v="1"/>
    <n v="998"/>
    <n v="3"/>
    <s v="Female"/>
    <n v="84"/>
    <n v="4"/>
    <n v="2"/>
    <x v="4"/>
    <n v="2"/>
    <s v="Married"/>
    <n v="5488"/>
    <n v="20161"/>
    <n v="1"/>
    <s v="Y"/>
    <x v="0"/>
    <n v="13"/>
    <n v="3"/>
    <n v="1"/>
    <n v="80"/>
    <n v="1"/>
    <n v="6"/>
    <n v="2"/>
    <n v="3"/>
    <n v="6"/>
    <n v="5"/>
    <n v="1"/>
    <n v="2"/>
    <x v="1"/>
    <x v="1"/>
    <x v="0"/>
  </r>
  <r>
    <n v="41"/>
    <x v="1"/>
    <s v="Travel_Frequently"/>
    <n v="840"/>
    <x v="1"/>
    <n v="9"/>
    <n v="3"/>
    <s v="Medical"/>
    <n v="1"/>
    <n v="999"/>
    <n v="1"/>
    <s v="Male"/>
    <n v="64"/>
    <n v="3"/>
    <n v="5"/>
    <x v="7"/>
    <n v="3"/>
    <s v="Divorced"/>
    <n v="19419"/>
    <n v="3735"/>
    <n v="2"/>
    <s v="Y"/>
    <x v="1"/>
    <n v="17"/>
    <n v="3"/>
    <n v="2"/>
    <n v="80"/>
    <n v="1"/>
    <n v="21"/>
    <n v="2"/>
    <n v="4"/>
    <n v="18"/>
    <n v="16"/>
    <n v="0"/>
    <n v="11"/>
    <x v="1"/>
    <x v="0"/>
    <x v="2"/>
  </r>
  <r>
    <n v="27"/>
    <x v="1"/>
    <s v="Travel_Rarely"/>
    <n v="1134"/>
    <x v="1"/>
    <n v="16"/>
    <n v="4"/>
    <s v="Technical Degree"/>
    <n v="1"/>
    <n v="1001"/>
    <n v="3"/>
    <s v="Female"/>
    <n v="37"/>
    <n v="3"/>
    <n v="1"/>
    <x v="2"/>
    <n v="2"/>
    <s v="Married"/>
    <n v="2811"/>
    <n v="12086"/>
    <n v="9"/>
    <s v="Y"/>
    <x v="1"/>
    <n v="14"/>
    <n v="3"/>
    <n v="2"/>
    <n v="80"/>
    <n v="1"/>
    <n v="4"/>
    <n v="2"/>
    <n v="3"/>
    <n v="2"/>
    <n v="2"/>
    <n v="2"/>
    <n v="2"/>
    <x v="1"/>
    <x v="2"/>
    <x v="1"/>
  </r>
  <r>
    <n v="45"/>
    <x v="1"/>
    <s v="Non-Travel"/>
    <n v="248"/>
    <x v="1"/>
    <n v="23"/>
    <n v="2"/>
    <s v="Life Sciences"/>
    <n v="1"/>
    <n v="1002"/>
    <n v="4"/>
    <s v="Male"/>
    <n v="42"/>
    <n v="3"/>
    <n v="2"/>
    <x v="2"/>
    <n v="1"/>
    <s v="Married"/>
    <n v="3633"/>
    <n v="14039"/>
    <n v="1"/>
    <s v="Y"/>
    <x v="0"/>
    <n v="15"/>
    <n v="3"/>
    <n v="3"/>
    <n v="80"/>
    <n v="1"/>
    <n v="9"/>
    <n v="2"/>
    <n v="3"/>
    <n v="9"/>
    <n v="8"/>
    <n v="0"/>
    <n v="8"/>
    <x v="1"/>
    <x v="0"/>
    <x v="0"/>
  </r>
  <r>
    <n v="47"/>
    <x v="1"/>
    <s v="Travel_Rarely"/>
    <n v="955"/>
    <x v="0"/>
    <n v="4"/>
    <n v="2"/>
    <s v="Life Sciences"/>
    <n v="1"/>
    <n v="1003"/>
    <n v="4"/>
    <s v="Female"/>
    <n v="83"/>
    <n v="3"/>
    <n v="2"/>
    <x v="0"/>
    <n v="4"/>
    <s v="Single"/>
    <n v="4163"/>
    <n v="8571"/>
    <n v="1"/>
    <s v="Y"/>
    <x v="0"/>
    <n v="17"/>
    <n v="3"/>
    <n v="3"/>
    <n v="80"/>
    <n v="0"/>
    <n v="9"/>
    <n v="0"/>
    <n v="3"/>
    <n v="9"/>
    <n v="0"/>
    <n v="0"/>
    <n v="7"/>
    <x v="1"/>
    <x v="0"/>
    <x v="0"/>
  </r>
  <r>
    <n v="30"/>
    <x v="0"/>
    <s v="Travel_Rarely"/>
    <n v="138"/>
    <x v="1"/>
    <n v="22"/>
    <n v="3"/>
    <s v="Life Sciences"/>
    <n v="1"/>
    <n v="1004"/>
    <n v="1"/>
    <s v="Female"/>
    <n v="48"/>
    <n v="3"/>
    <n v="1"/>
    <x v="1"/>
    <n v="3"/>
    <s v="Married"/>
    <n v="2132"/>
    <n v="11539"/>
    <n v="4"/>
    <s v="Y"/>
    <x v="0"/>
    <n v="11"/>
    <n v="3"/>
    <n v="2"/>
    <n v="80"/>
    <n v="0"/>
    <n v="7"/>
    <n v="2"/>
    <n v="3"/>
    <n v="5"/>
    <n v="2"/>
    <n v="0"/>
    <n v="1"/>
    <x v="0"/>
    <x v="1"/>
    <x v="1"/>
  </r>
  <r>
    <n v="50"/>
    <x v="1"/>
    <s v="Travel_Rarely"/>
    <n v="939"/>
    <x v="1"/>
    <n v="24"/>
    <n v="3"/>
    <s v="Life Sciences"/>
    <n v="1"/>
    <n v="1005"/>
    <n v="4"/>
    <s v="Male"/>
    <n v="95"/>
    <n v="3"/>
    <n v="4"/>
    <x v="3"/>
    <n v="3"/>
    <s v="Married"/>
    <n v="13973"/>
    <n v="4161"/>
    <n v="3"/>
    <s v="Y"/>
    <x v="0"/>
    <n v="18"/>
    <n v="3"/>
    <n v="4"/>
    <n v="80"/>
    <n v="1"/>
    <n v="22"/>
    <n v="2"/>
    <n v="3"/>
    <n v="12"/>
    <n v="11"/>
    <n v="1"/>
    <n v="5"/>
    <x v="1"/>
    <x v="3"/>
    <x v="2"/>
  </r>
  <r>
    <n v="38"/>
    <x v="1"/>
    <s v="Travel_Frequently"/>
    <n v="1391"/>
    <x v="1"/>
    <n v="10"/>
    <n v="1"/>
    <s v="Medical"/>
    <n v="1"/>
    <n v="1006"/>
    <n v="3"/>
    <s v="Male"/>
    <n v="66"/>
    <n v="3"/>
    <n v="1"/>
    <x v="1"/>
    <n v="3"/>
    <s v="Married"/>
    <n v="2684"/>
    <n v="12127"/>
    <n v="0"/>
    <s v="Y"/>
    <x v="1"/>
    <n v="17"/>
    <n v="3"/>
    <n v="2"/>
    <n v="80"/>
    <n v="1"/>
    <n v="3"/>
    <n v="0"/>
    <n v="2"/>
    <n v="2"/>
    <n v="1"/>
    <n v="0"/>
    <n v="2"/>
    <x v="1"/>
    <x v="1"/>
    <x v="1"/>
  </r>
  <r>
    <n v="46"/>
    <x v="1"/>
    <s v="Travel_Rarely"/>
    <n v="566"/>
    <x v="1"/>
    <n v="7"/>
    <n v="2"/>
    <s v="Medical"/>
    <n v="1"/>
    <n v="1007"/>
    <n v="4"/>
    <s v="Male"/>
    <n v="75"/>
    <n v="3"/>
    <n v="3"/>
    <x v="3"/>
    <n v="3"/>
    <s v="Divorced"/>
    <n v="10845"/>
    <n v="24208"/>
    <n v="6"/>
    <s v="Y"/>
    <x v="1"/>
    <n v="13"/>
    <n v="3"/>
    <n v="2"/>
    <n v="80"/>
    <n v="1"/>
    <n v="13"/>
    <n v="3"/>
    <n v="3"/>
    <n v="8"/>
    <n v="7"/>
    <n v="0"/>
    <n v="7"/>
    <x v="1"/>
    <x v="0"/>
    <x v="2"/>
  </r>
  <r>
    <n v="24"/>
    <x v="1"/>
    <s v="Travel_Rarely"/>
    <n v="1206"/>
    <x v="1"/>
    <n v="17"/>
    <n v="1"/>
    <s v="Medical"/>
    <n v="1"/>
    <n v="1009"/>
    <n v="4"/>
    <s v="Female"/>
    <n v="41"/>
    <n v="2"/>
    <n v="2"/>
    <x v="3"/>
    <n v="3"/>
    <s v="Divorced"/>
    <n v="4377"/>
    <n v="24117"/>
    <n v="1"/>
    <s v="Y"/>
    <x v="1"/>
    <n v="15"/>
    <n v="3"/>
    <n v="2"/>
    <n v="80"/>
    <n v="2"/>
    <n v="5"/>
    <n v="6"/>
    <n v="3"/>
    <n v="4"/>
    <n v="2"/>
    <n v="3"/>
    <n v="2"/>
    <x v="1"/>
    <x v="2"/>
    <x v="0"/>
  </r>
  <r>
    <n v="35"/>
    <x v="0"/>
    <s v="Travel_Rarely"/>
    <n v="622"/>
    <x v="1"/>
    <n v="14"/>
    <n v="4"/>
    <s v="Other"/>
    <n v="1"/>
    <n v="1010"/>
    <n v="3"/>
    <s v="Male"/>
    <n v="39"/>
    <n v="2"/>
    <n v="1"/>
    <x v="2"/>
    <n v="2"/>
    <s v="Divorced"/>
    <n v="3743"/>
    <n v="10074"/>
    <n v="1"/>
    <s v="Y"/>
    <x v="0"/>
    <n v="24"/>
    <n v="4"/>
    <n v="4"/>
    <n v="80"/>
    <n v="1"/>
    <n v="5"/>
    <n v="2"/>
    <n v="1"/>
    <n v="4"/>
    <n v="2"/>
    <n v="0"/>
    <n v="2"/>
    <x v="0"/>
    <x v="1"/>
    <x v="0"/>
  </r>
  <r>
    <n v="31"/>
    <x v="1"/>
    <s v="Travel_Frequently"/>
    <n v="853"/>
    <x v="1"/>
    <n v="1"/>
    <n v="1"/>
    <s v="Life Sciences"/>
    <n v="1"/>
    <n v="1011"/>
    <n v="3"/>
    <s v="Female"/>
    <n v="96"/>
    <n v="3"/>
    <n v="2"/>
    <x v="3"/>
    <n v="1"/>
    <s v="Married"/>
    <n v="4148"/>
    <n v="11275"/>
    <n v="1"/>
    <s v="Y"/>
    <x v="1"/>
    <n v="12"/>
    <n v="3"/>
    <n v="3"/>
    <n v="80"/>
    <n v="1"/>
    <n v="4"/>
    <n v="1"/>
    <n v="3"/>
    <n v="4"/>
    <n v="3"/>
    <n v="0"/>
    <n v="3"/>
    <x v="1"/>
    <x v="1"/>
    <x v="0"/>
  </r>
  <r>
    <n v="18"/>
    <x v="1"/>
    <s v="Non-Travel"/>
    <n v="287"/>
    <x v="1"/>
    <n v="5"/>
    <n v="2"/>
    <s v="Life Sciences"/>
    <n v="1"/>
    <n v="1012"/>
    <n v="2"/>
    <s v="Male"/>
    <n v="73"/>
    <n v="3"/>
    <n v="1"/>
    <x v="1"/>
    <n v="4"/>
    <s v="Single"/>
    <n v="1051"/>
    <n v="13493"/>
    <n v="1"/>
    <s v="Y"/>
    <x v="1"/>
    <n v="15"/>
    <n v="3"/>
    <n v="4"/>
    <n v="80"/>
    <n v="0"/>
    <n v="0"/>
    <n v="2"/>
    <n v="3"/>
    <n v="0"/>
    <n v="0"/>
    <n v="0"/>
    <n v="0"/>
    <x v="1"/>
    <x v="2"/>
    <x v="1"/>
  </r>
  <r>
    <n v="54"/>
    <x v="1"/>
    <s v="Travel_Rarely"/>
    <n v="1441"/>
    <x v="1"/>
    <n v="17"/>
    <n v="3"/>
    <s v="Technical Degree"/>
    <n v="1"/>
    <n v="1013"/>
    <n v="3"/>
    <s v="Female"/>
    <n v="56"/>
    <n v="3"/>
    <n v="3"/>
    <x v="3"/>
    <n v="3"/>
    <s v="Married"/>
    <n v="10739"/>
    <n v="13943"/>
    <n v="8"/>
    <s v="Y"/>
    <x v="1"/>
    <n v="11"/>
    <n v="3"/>
    <n v="3"/>
    <n v="80"/>
    <n v="1"/>
    <n v="22"/>
    <n v="2"/>
    <n v="3"/>
    <n v="10"/>
    <n v="7"/>
    <n v="0"/>
    <n v="8"/>
    <x v="1"/>
    <x v="3"/>
    <x v="2"/>
  </r>
  <r>
    <n v="35"/>
    <x v="1"/>
    <s v="Travel_Rarely"/>
    <n v="583"/>
    <x v="1"/>
    <n v="25"/>
    <n v="4"/>
    <s v="Medical"/>
    <n v="1"/>
    <n v="1014"/>
    <n v="3"/>
    <s v="Female"/>
    <n v="57"/>
    <n v="3"/>
    <n v="3"/>
    <x v="4"/>
    <n v="3"/>
    <s v="Divorced"/>
    <n v="10388"/>
    <n v="6975"/>
    <n v="1"/>
    <s v="Y"/>
    <x v="0"/>
    <n v="11"/>
    <n v="3"/>
    <n v="3"/>
    <n v="80"/>
    <n v="1"/>
    <n v="16"/>
    <n v="3"/>
    <n v="2"/>
    <n v="16"/>
    <n v="10"/>
    <n v="10"/>
    <n v="1"/>
    <x v="1"/>
    <x v="1"/>
    <x v="2"/>
  </r>
  <r>
    <n v="30"/>
    <x v="1"/>
    <s v="Travel_Rarely"/>
    <n v="153"/>
    <x v="1"/>
    <n v="8"/>
    <n v="2"/>
    <s v="Life Sciences"/>
    <n v="1"/>
    <n v="1015"/>
    <n v="2"/>
    <s v="Female"/>
    <n v="73"/>
    <n v="4"/>
    <n v="3"/>
    <x v="7"/>
    <n v="1"/>
    <s v="Married"/>
    <n v="11416"/>
    <n v="17802"/>
    <n v="0"/>
    <s v="Y"/>
    <x v="0"/>
    <n v="12"/>
    <n v="3"/>
    <n v="3"/>
    <n v="80"/>
    <n v="3"/>
    <n v="9"/>
    <n v="4"/>
    <n v="2"/>
    <n v="8"/>
    <n v="7"/>
    <n v="1"/>
    <n v="7"/>
    <x v="1"/>
    <x v="1"/>
    <x v="2"/>
  </r>
  <r>
    <n v="20"/>
    <x v="0"/>
    <s v="Travel_Rarely"/>
    <n v="1097"/>
    <x v="1"/>
    <n v="11"/>
    <n v="3"/>
    <s v="Medical"/>
    <n v="1"/>
    <n v="1016"/>
    <n v="4"/>
    <s v="Female"/>
    <n v="98"/>
    <n v="2"/>
    <n v="1"/>
    <x v="1"/>
    <n v="1"/>
    <s v="Single"/>
    <n v="2600"/>
    <n v="18275"/>
    <n v="1"/>
    <s v="Y"/>
    <x v="0"/>
    <n v="15"/>
    <n v="3"/>
    <n v="1"/>
    <n v="80"/>
    <n v="0"/>
    <n v="1"/>
    <n v="2"/>
    <n v="3"/>
    <n v="1"/>
    <n v="0"/>
    <n v="0"/>
    <n v="0"/>
    <x v="0"/>
    <x v="2"/>
    <x v="1"/>
  </r>
  <r>
    <n v="30"/>
    <x v="0"/>
    <s v="Travel_Frequently"/>
    <n v="109"/>
    <x v="1"/>
    <n v="5"/>
    <n v="3"/>
    <s v="Medical"/>
    <n v="1"/>
    <n v="1017"/>
    <n v="2"/>
    <s v="Female"/>
    <n v="60"/>
    <n v="3"/>
    <n v="1"/>
    <x v="2"/>
    <n v="2"/>
    <s v="Single"/>
    <n v="2422"/>
    <n v="25725"/>
    <n v="0"/>
    <s v="Y"/>
    <x v="1"/>
    <n v="17"/>
    <n v="3"/>
    <n v="1"/>
    <n v="80"/>
    <n v="0"/>
    <n v="4"/>
    <n v="3"/>
    <n v="3"/>
    <n v="3"/>
    <n v="2"/>
    <n v="1"/>
    <n v="2"/>
    <x v="0"/>
    <x v="1"/>
    <x v="1"/>
  </r>
  <r>
    <n v="26"/>
    <x v="1"/>
    <s v="Travel_Rarely"/>
    <n v="1066"/>
    <x v="1"/>
    <n v="2"/>
    <n v="2"/>
    <s v="Medical"/>
    <n v="1"/>
    <n v="1018"/>
    <n v="4"/>
    <s v="Male"/>
    <n v="32"/>
    <n v="4"/>
    <n v="2"/>
    <x v="3"/>
    <n v="4"/>
    <s v="Married"/>
    <n v="5472"/>
    <n v="3334"/>
    <n v="1"/>
    <s v="Y"/>
    <x v="1"/>
    <n v="12"/>
    <n v="3"/>
    <n v="2"/>
    <n v="80"/>
    <n v="0"/>
    <n v="8"/>
    <n v="2"/>
    <n v="3"/>
    <n v="8"/>
    <n v="7"/>
    <n v="1"/>
    <n v="3"/>
    <x v="1"/>
    <x v="2"/>
    <x v="0"/>
  </r>
  <r>
    <n v="22"/>
    <x v="1"/>
    <s v="Travel_Rarely"/>
    <n v="217"/>
    <x v="1"/>
    <n v="8"/>
    <n v="1"/>
    <s v="Life Sciences"/>
    <n v="1"/>
    <n v="1019"/>
    <n v="2"/>
    <s v="Male"/>
    <n v="94"/>
    <n v="1"/>
    <n v="1"/>
    <x v="2"/>
    <n v="1"/>
    <s v="Married"/>
    <n v="2451"/>
    <n v="6881"/>
    <n v="1"/>
    <s v="Y"/>
    <x v="1"/>
    <n v="15"/>
    <n v="3"/>
    <n v="1"/>
    <n v="80"/>
    <n v="1"/>
    <n v="4"/>
    <n v="3"/>
    <n v="2"/>
    <n v="4"/>
    <n v="3"/>
    <n v="1"/>
    <n v="1"/>
    <x v="1"/>
    <x v="2"/>
    <x v="1"/>
  </r>
  <r>
    <n v="48"/>
    <x v="1"/>
    <s v="Travel_Rarely"/>
    <n v="277"/>
    <x v="1"/>
    <n v="6"/>
    <n v="3"/>
    <s v="Life Sciences"/>
    <n v="1"/>
    <n v="1022"/>
    <n v="1"/>
    <s v="Male"/>
    <n v="97"/>
    <n v="2"/>
    <n v="2"/>
    <x v="4"/>
    <n v="3"/>
    <s v="Single"/>
    <n v="4240"/>
    <n v="13119"/>
    <n v="2"/>
    <s v="Y"/>
    <x v="1"/>
    <n v="13"/>
    <n v="3"/>
    <n v="4"/>
    <n v="80"/>
    <n v="0"/>
    <n v="19"/>
    <n v="0"/>
    <n v="3"/>
    <n v="2"/>
    <n v="2"/>
    <n v="2"/>
    <n v="2"/>
    <x v="1"/>
    <x v="0"/>
    <x v="0"/>
  </r>
  <r>
    <n v="48"/>
    <x v="1"/>
    <s v="Travel_Rarely"/>
    <n v="1355"/>
    <x v="1"/>
    <n v="4"/>
    <n v="4"/>
    <s v="Life Sciences"/>
    <n v="1"/>
    <n v="1024"/>
    <n v="3"/>
    <s v="Male"/>
    <n v="78"/>
    <n v="2"/>
    <n v="3"/>
    <x v="4"/>
    <n v="3"/>
    <s v="Single"/>
    <n v="10999"/>
    <n v="22245"/>
    <n v="7"/>
    <s v="Y"/>
    <x v="1"/>
    <n v="14"/>
    <n v="3"/>
    <n v="2"/>
    <n v="80"/>
    <n v="0"/>
    <n v="27"/>
    <n v="3"/>
    <n v="3"/>
    <n v="15"/>
    <n v="11"/>
    <n v="4"/>
    <n v="8"/>
    <x v="1"/>
    <x v="0"/>
    <x v="2"/>
  </r>
  <r>
    <n v="41"/>
    <x v="1"/>
    <s v="Travel_Rarely"/>
    <n v="549"/>
    <x v="1"/>
    <n v="7"/>
    <n v="2"/>
    <s v="Medical"/>
    <n v="1"/>
    <n v="1025"/>
    <n v="4"/>
    <s v="Female"/>
    <n v="42"/>
    <n v="3"/>
    <n v="2"/>
    <x v="3"/>
    <n v="3"/>
    <s v="Single"/>
    <n v="5003"/>
    <n v="23371"/>
    <n v="6"/>
    <s v="Y"/>
    <x v="1"/>
    <n v="14"/>
    <n v="3"/>
    <n v="2"/>
    <n v="80"/>
    <n v="0"/>
    <n v="8"/>
    <n v="6"/>
    <n v="3"/>
    <n v="2"/>
    <n v="2"/>
    <n v="2"/>
    <n v="1"/>
    <x v="1"/>
    <x v="0"/>
    <x v="0"/>
  </r>
  <r>
    <n v="39"/>
    <x v="1"/>
    <s v="Travel_Rarely"/>
    <n v="466"/>
    <x v="1"/>
    <n v="1"/>
    <n v="1"/>
    <s v="Life Sciences"/>
    <n v="1"/>
    <n v="1026"/>
    <n v="4"/>
    <s v="Female"/>
    <n v="65"/>
    <n v="2"/>
    <n v="4"/>
    <x v="3"/>
    <n v="4"/>
    <s v="Married"/>
    <n v="12742"/>
    <n v="7060"/>
    <n v="1"/>
    <s v="Y"/>
    <x v="1"/>
    <n v="16"/>
    <n v="3"/>
    <n v="3"/>
    <n v="80"/>
    <n v="1"/>
    <n v="21"/>
    <n v="3"/>
    <n v="3"/>
    <n v="21"/>
    <n v="6"/>
    <n v="11"/>
    <n v="8"/>
    <x v="1"/>
    <x v="1"/>
    <x v="2"/>
  </r>
  <r>
    <n v="27"/>
    <x v="1"/>
    <s v="Travel_Rarely"/>
    <n v="1055"/>
    <x v="1"/>
    <n v="2"/>
    <n v="4"/>
    <s v="Life Sciences"/>
    <n v="1"/>
    <n v="1027"/>
    <n v="1"/>
    <s v="Female"/>
    <n v="47"/>
    <n v="3"/>
    <n v="2"/>
    <x v="3"/>
    <n v="4"/>
    <s v="Married"/>
    <n v="4227"/>
    <n v="4658"/>
    <n v="0"/>
    <s v="Y"/>
    <x v="1"/>
    <n v="18"/>
    <n v="3"/>
    <n v="2"/>
    <n v="80"/>
    <n v="1"/>
    <n v="4"/>
    <n v="2"/>
    <n v="3"/>
    <n v="3"/>
    <n v="2"/>
    <n v="2"/>
    <n v="2"/>
    <x v="1"/>
    <x v="2"/>
    <x v="0"/>
  </r>
  <r>
    <n v="35"/>
    <x v="1"/>
    <s v="Travel_Rarely"/>
    <n v="802"/>
    <x v="1"/>
    <n v="10"/>
    <n v="3"/>
    <s v="Other"/>
    <n v="1"/>
    <n v="1028"/>
    <n v="2"/>
    <s v="Male"/>
    <n v="45"/>
    <n v="3"/>
    <n v="1"/>
    <x v="2"/>
    <n v="4"/>
    <s v="Divorced"/>
    <n v="3917"/>
    <n v="9541"/>
    <n v="1"/>
    <s v="Y"/>
    <x v="1"/>
    <n v="20"/>
    <n v="4"/>
    <n v="1"/>
    <n v="80"/>
    <n v="1"/>
    <n v="3"/>
    <n v="4"/>
    <n v="2"/>
    <n v="3"/>
    <n v="2"/>
    <n v="1"/>
    <n v="2"/>
    <x v="1"/>
    <x v="1"/>
    <x v="0"/>
  </r>
  <r>
    <n v="42"/>
    <x v="1"/>
    <s v="Travel_Rarely"/>
    <n v="265"/>
    <x v="0"/>
    <n v="5"/>
    <n v="2"/>
    <s v="Marketing"/>
    <n v="1"/>
    <n v="1029"/>
    <n v="4"/>
    <s v="Male"/>
    <n v="90"/>
    <n v="3"/>
    <n v="5"/>
    <x v="5"/>
    <n v="3"/>
    <s v="Married"/>
    <n v="18303"/>
    <n v="7770"/>
    <n v="6"/>
    <s v="Y"/>
    <x v="1"/>
    <n v="13"/>
    <n v="3"/>
    <n v="2"/>
    <n v="80"/>
    <n v="0"/>
    <n v="21"/>
    <n v="3"/>
    <n v="4"/>
    <n v="1"/>
    <n v="0"/>
    <n v="0"/>
    <n v="0"/>
    <x v="1"/>
    <x v="0"/>
    <x v="2"/>
  </r>
  <r>
    <n v="50"/>
    <x v="1"/>
    <s v="Travel_Rarely"/>
    <n v="804"/>
    <x v="1"/>
    <n v="9"/>
    <n v="3"/>
    <s v="Life Sciences"/>
    <n v="1"/>
    <n v="1030"/>
    <n v="1"/>
    <s v="Male"/>
    <n v="64"/>
    <n v="3"/>
    <n v="1"/>
    <x v="2"/>
    <n v="4"/>
    <s v="Married"/>
    <n v="2380"/>
    <n v="20165"/>
    <n v="4"/>
    <s v="Y"/>
    <x v="1"/>
    <n v="18"/>
    <n v="3"/>
    <n v="2"/>
    <n v="80"/>
    <n v="0"/>
    <n v="8"/>
    <n v="5"/>
    <n v="3"/>
    <n v="1"/>
    <n v="0"/>
    <n v="0"/>
    <n v="0"/>
    <x v="1"/>
    <x v="3"/>
    <x v="1"/>
  </r>
  <r>
    <n v="59"/>
    <x v="1"/>
    <s v="Travel_Rarely"/>
    <n v="715"/>
    <x v="1"/>
    <n v="2"/>
    <n v="3"/>
    <s v="Life Sciences"/>
    <n v="1"/>
    <n v="1032"/>
    <n v="3"/>
    <s v="Female"/>
    <n v="69"/>
    <n v="2"/>
    <n v="4"/>
    <x v="3"/>
    <n v="4"/>
    <s v="Single"/>
    <n v="13726"/>
    <n v="21829"/>
    <n v="3"/>
    <s v="Y"/>
    <x v="0"/>
    <n v="13"/>
    <n v="3"/>
    <n v="1"/>
    <n v="80"/>
    <n v="0"/>
    <n v="30"/>
    <n v="4"/>
    <n v="3"/>
    <n v="5"/>
    <n v="3"/>
    <n v="4"/>
    <n v="3"/>
    <x v="1"/>
    <x v="3"/>
    <x v="2"/>
  </r>
  <r>
    <n v="37"/>
    <x v="0"/>
    <s v="Travel_Rarely"/>
    <n v="1141"/>
    <x v="1"/>
    <n v="11"/>
    <n v="2"/>
    <s v="Medical"/>
    <n v="1"/>
    <n v="1033"/>
    <n v="1"/>
    <s v="Female"/>
    <n v="61"/>
    <n v="1"/>
    <n v="2"/>
    <x v="4"/>
    <n v="2"/>
    <s v="Married"/>
    <n v="4777"/>
    <n v="14382"/>
    <n v="5"/>
    <s v="Y"/>
    <x v="1"/>
    <n v="15"/>
    <n v="3"/>
    <n v="1"/>
    <n v="80"/>
    <n v="0"/>
    <n v="15"/>
    <n v="2"/>
    <n v="1"/>
    <n v="1"/>
    <n v="0"/>
    <n v="0"/>
    <n v="0"/>
    <x v="0"/>
    <x v="1"/>
    <x v="0"/>
  </r>
  <r>
    <n v="55"/>
    <x v="1"/>
    <s v="Travel_Frequently"/>
    <n v="135"/>
    <x v="1"/>
    <n v="18"/>
    <n v="4"/>
    <s v="Medical"/>
    <n v="1"/>
    <n v="1034"/>
    <n v="3"/>
    <s v="Male"/>
    <n v="62"/>
    <n v="3"/>
    <n v="2"/>
    <x v="4"/>
    <n v="2"/>
    <s v="Married"/>
    <n v="6385"/>
    <n v="12992"/>
    <n v="3"/>
    <s v="Y"/>
    <x v="0"/>
    <n v="14"/>
    <n v="3"/>
    <n v="4"/>
    <n v="80"/>
    <n v="2"/>
    <n v="17"/>
    <n v="3"/>
    <n v="3"/>
    <n v="8"/>
    <n v="7"/>
    <n v="6"/>
    <n v="7"/>
    <x v="1"/>
    <x v="3"/>
    <x v="0"/>
  </r>
  <r>
    <n v="41"/>
    <x v="1"/>
    <s v="Non-Travel"/>
    <n v="247"/>
    <x v="1"/>
    <n v="7"/>
    <n v="1"/>
    <s v="Life Sciences"/>
    <n v="1"/>
    <n v="1035"/>
    <n v="2"/>
    <s v="Female"/>
    <n v="55"/>
    <n v="1"/>
    <n v="5"/>
    <x v="7"/>
    <n v="3"/>
    <s v="Divorced"/>
    <n v="19973"/>
    <n v="20284"/>
    <n v="1"/>
    <s v="Y"/>
    <x v="1"/>
    <n v="22"/>
    <n v="4"/>
    <n v="2"/>
    <n v="80"/>
    <n v="2"/>
    <n v="21"/>
    <n v="3"/>
    <n v="3"/>
    <n v="21"/>
    <n v="16"/>
    <n v="5"/>
    <n v="10"/>
    <x v="1"/>
    <x v="0"/>
    <x v="2"/>
  </r>
  <r>
    <n v="38"/>
    <x v="1"/>
    <s v="Travel_Rarely"/>
    <n v="1035"/>
    <x v="0"/>
    <n v="3"/>
    <n v="4"/>
    <s v="Life Sciences"/>
    <n v="1"/>
    <n v="1036"/>
    <n v="2"/>
    <s v="Male"/>
    <n v="42"/>
    <n v="3"/>
    <n v="2"/>
    <x v="0"/>
    <n v="4"/>
    <s v="Single"/>
    <n v="6861"/>
    <n v="4981"/>
    <n v="8"/>
    <s v="Y"/>
    <x v="0"/>
    <n v="12"/>
    <n v="3"/>
    <n v="3"/>
    <n v="80"/>
    <n v="0"/>
    <n v="19"/>
    <n v="1"/>
    <n v="3"/>
    <n v="1"/>
    <n v="0"/>
    <n v="0"/>
    <n v="0"/>
    <x v="1"/>
    <x v="1"/>
    <x v="0"/>
  </r>
  <r>
    <n v="26"/>
    <x v="0"/>
    <s v="Non-Travel"/>
    <n v="265"/>
    <x v="0"/>
    <n v="29"/>
    <n v="2"/>
    <s v="Medical"/>
    <n v="1"/>
    <n v="1037"/>
    <n v="2"/>
    <s v="Male"/>
    <n v="79"/>
    <n v="1"/>
    <n v="2"/>
    <x v="0"/>
    <n v="1"/>
    <s v="Single"/>
    <n v="4969"/>
    <n v="21813"/>
    <n v="8"/>
    <s v="Y"/>
    <x v="1"/>
    <n v="18"/>
    <n v="3"/>
    <n v="4"/>
    <n v="80"/>
    <n v="0"/>
    <n v="7"/>
    <n v="6"/>
    <n v="3"/>
    <n v="2"/>
    <n v="2"/>
    <n v="2"/>
    <n v="2"/>
    <x v="0"/>
    <x v="2"/>
    <x v="0"/>
  </r>
  <r>
    <n v="52"/>
    <x v="0"/>
    <s v="Travel_Rarely"/>
    <n v="266"/>
    <x v="0"/>
    <n v="2"/>
    <n v="1"/>
    <s v="Marketing"/>
    <n v="1"/>
    <n v="1038"/>
    <n v="1"/>
    <s v="Female"/>
    <n v="57"/>
    <n v="1"/>
    <n v="5"/>
    <x v="5"/>
    <n v="4"/>
    <s v="Married"/>
    <n v="19845"/>
    <n v="25846"/>
    <n v="1"/>
    <s v="Y"/>
    <x v="1"/>
    <n v="15"/>
    <n v="3"/>
    <n v="4"/>
    <n v="80"/>
    <n v="1"/>
    <n v="33"/>
    <n v="3"/>
    <n v="3"/>
    <n v="32"/>
    <n v="14"/>
    <n v="6"/>
    <n v="9"/>
    <x v="0"/>
    <x v="3"/>
    <x v="2"/>
  </r>
  <r>
    <n v="44"/>
    <x v="1"/>
    <s v="Travel_Rarely"/>
    <n v="1448"/>
    <x v="0"/>
    <n v="28"/>
    <n v="3"/>
    <s v="Medical"/>
    <n v="1"/>
    <n v="1039"/>
    <n v="4"/>
    <s v="Female"/>
    <n v="53"/>
    <n v="4"/>
    <n v="4"/>
    <x v="0"/>
    <n v="4"/>
    <s v="Married"/>
    <n v="13320"/>
    <n v="11737"/>
    <n v="3"/>
    <s v="Y"/>
    <x v="0"/>
    <n v="18"/>
    <n v="3"/>
    <n v="3"/>
    <n v="80"/>
    <n v="1"/>
    <n v="23"/>
    <n v="2"/>
    <n v="3"/>
    <n v="12"/>
    <n v="11"/>
    <n v="11"/>
    <n v="11"/>
    <x v="1"/>
    <x v="0"/>
    <x v="2"/>
  </r>
  <r>
    <n v="50"/>
    <x v="1"/>
    <s v="Non-Travel"/>
    <n v="145"/>
    <x v="0"/>
    <n v="1"/>
    <n v="3"/>
    <s v="Life Sciences"/>
    <n v="1"/>
    <n v="1040"/>
    <n v="4"/>
    <s v="Female"/>
    <n v="95"/>
    <n v="3"/>
    <n v="2"/>
    <x v="0"/>
    <n v="3"/>
    <s v="Married"/>
    <n v="6347"/>
    <n v="24920"/>
    <n v="0"/>
    <s v="Y"/>
    <x v="1"/>
    <n v="12"/>
    <n v="3"/>
    <n v="1"/>
    <n v="80"/>
    <n v="1"/>
    <n v="19"/>
    <n v="3"/>
    <n v="3"/>
    <n v="18"/>
    <n v="7"/>
    <n v="0"/>
    <n v="13"/>
    <x v="1"/>
    <x v="3"/>
    <x v="0"/>
  </r>
  <r>
    <n v="36"/>
    <x v="0"/>
    <s v="Travel_Rarely"/>
    <n v="885"/>
    <x v="1"/>
    <n v="16"/>
    <n v="4"/>
    <s v="Life Sciences"/>
    <n v="1"/>
    <n v="1042"/>
    <n v="3"/>
    <s v="Female"/>
    <n v="43"/>
    <n v="4"/>
    <n v="1"/>
    <x v="2"/>
    <n v="1"/>
    <s v="Single"/>
    <n v="2743"/>
    <n v="8269"/>
    <n v="1"/>
    <s v="Y"/>
    <x v="1"/>
    <n v="16"/>
    <n v="3"/>
    <n v="3"/>
    <n v="80"/>
    <n v="0"/>
    <n v="18"/>
    <n v="1"/>
    <n v="3"/>
    <n v="17"/>
    <n v="13"/>
    <n v="15"/>
    <n v="14"/>
    <x v="0"/>
    <x v="1"/>
    <x v="1"/>
  </r>
  <r>
    <n v="39"/>
    <x v="1"/>
    <s v="Travel_Frequently"/>
    <n v="945"/>
    <x v="1"/>
    <n v="22"/>
    <n v="3"/>
    <s v="Medical"/>
    <n v="1"/>
    <n v="1043"/>
    <n v="4"/>
    <s v="Female"/>
    <n v="82"/>
    <n v="3"/>
    <n v="3"/>
    <x v="3"/>
    <n v="1"/>
    <s v="Single"/>
    <n v="10880"/>
    <n v="5083"/>
    <n v="1"/>
    <s v="Y"/>
    <x v="0"/>
    <n v="13"/>
    <n v="3"/>
    <n v="3"/>
    <n v="80"/>
    <n v="0"/>
    <n v="21"/>
    <n v="2"/>
    <n v="3"/>
    <n v="21"/>
    <n v="6"/>
    <n v="2"/>
    <n v="8"/>
    <x v="1"/>
    <x v="1"/>
    <x v="2"/>
  </r>
  <r>
    <n v="33"/>
    <x v="1"/>
    <s v="Non-Travel"/>
    <n v="1038"/>
    <x v="0"/>
    <n v="8"/>
    <n v="1"/>
    <s v="Life Sciences"/>
    <n v="1"/>
    <n v="1044"/>
    <n v="2"/>
    <s v="Female"/>
    <n v="88"/>
    <n v="2"/>
    <n v="1"/>
    <x v="6"/>
    <n v="4"/>
    <s v="Single"/>
    <n v="2342"/>
    <n v="21437"/>
    <n v="0"/>
    <s v="Y"/>
    <x v="1"/>
    <n v="19"/>
    <n v="3"/>
    <n v="4"/>
    <n v="80"/>
    <n v="0"/>
    <n v="3"/>
    <n v="2"/>
    <n v="2"/>
    <n v="2"/>
    <n v="2"/>
    <n v="2"/>
    <n v="2"/>
    <x v="1"/>
    <x v="1"/>
    <x v="1"/>
  </r>
  <r>
    <n v="45"/>
    <x v="1"/>
    <s v="Travel_Rarely"/>
    <n v="1234"/>
    <x v="0"/>
    <n v="11"/>
    <n v="2"/>
    <s v="Life Sciences"/>
    <n v="1"/>
    <n v="1045"/>
    <n v="4"/>
    <s v="Female"/>
    <n v="90"/>
    <n v="3"/>
    <n v="4"/>
    <x v="5"/>
    <n v="4"/>
    <s v="Married"/>
    <n v="17650"/>
    <n v="5404"/>
    <n v="3"/>
    <s v="Y"/>
    <x v="1"/>
    <n v="13"/>
    <n v="3"/>
    <n v="2"/>
    <n v="80"/>
    <n v="1"/>
    <n v="26"/>
    <n v="4"/>
    <n v="4"/>
    <n v="9"/>
    <n v="3"/>
    <n v="1"/>
    <n v="1"/>
    <x v="1"/>
    <x v="0"/>
    <x v="2"/>
  </r>
  <r>
    <n v="32"/>
    <x v="1"/>
    <s v="Non-Travel"/>
    <n v="1109"/>
    <x v="1"/>
    <n v="29"/>
    <n v="4"/>
    <s v="Medical"/>
    <n v="1"/>
    <n v="1046"/>
    <n v="4"/>
    <s v="Female"/>
    <n v="69"/>
    <n v="3"/>
    <n v="1"/>
    <x v="2"/>
    <n v="3"/>
    <s v="Single"/>
    <n v="4025"/>
    <n v="11135"/>
    <n v="9"/>
    <s v="Y"/>
    <x v="1"/>
    <n v="12"/>
    <n v="3"/>
    <n v="2"/>
    <n v="80"/>
    <n v="0"/>
    <n v="10"/>
    <n v="2"/>
    <n v="3"/>
    <n v="8"/>
    <n v="7"/>
    <n v="7"/>
    <n v="7"/>
    <x v="1"/>
    <x v="1"/>
    <x v="0"/>
  </r>
  <r>
    <n v="34"/>
    <x v="1"/>
    <s v="Travel_Rarely"/>
    <n v="216"/>
    <x v="0"/>
    <n v="1"/>
    <n v="4"/>
    <s v="Marketing"/>
    <n v="1"/>
    <n v="1047"/>
    <n v="2"/>
    <s v="Male"/>
    <n v="75"/>
    <n v="4"/>
    <n v="2"/>
    <x v="0"/>
    <n v="4"/>
    <s v="Divorced"/>
    <n v="9725"/>
    <n v="12278"/>
    <n v="0"/>
    <s v="Y"/>
    <x v="1"/>
    <n v="11"/>
    <n v="3"/>
    <n v="4"/>
    <n v="80"/>
    <n v="1"/>
    <n v="16"/>
    <n v="2"/>
    <n v="2"/>
    <n v="15"/>
    <n v="1"/>
    <n v="0"/>
    <n v="9"/>
    <x v="1"/>
    <x v="1"/>
    <x v="2"/>
  </r>
  <r>
    <n v="59"/>
    <x v="1"/>
    <s v="Travel_Rarely"/>
    <n v="1089"/>
    <x v="0"/>
    <n v="1"/>
    <n v="2"/>
    <s v="Technical Degree"/>
    <n v="1"/>
    <n v="1048"/>
    <n v="2"/>
    <s v="Male"/>
    <n v="66"/>
    <n v="3"/>
    <n v="3"/>
    <x v="5"/>
    <n v="4"/>
    <s v="Married"/>
    <n v="11904"/>
    <n v="11038"/>
    <n v="3"/>
    <s v="Y"/>
    <x v="0"/>
    <n v="14"/>
    <n v="3"/>
    <n v="3"/>
    <n v="80"/>
    <n v="1"/>
    <n v="14"/>
    <n v="1"/>
    <n v="1"/>
    <n v="6"/>
    <n v="4"/>
    <n v="0"/>
    <n v="4"/>
    <x v="1"/>
    <x v="3"/>
    <x v="2"/>
  </r>
  <r>
    <n v="45"/>
    <x v="1"/>
    <s v="Travel_Rarely"/>
    <n v="788"/>
    <x v="2"/>
    <n v="24"/>
    <n v="4"/>
    <s v="Medical"/>
    <n v="1"/>
    <n v="1049"/>
    <n v="2"/>
    <s v="Male"/>
    <n v="36"/>
    <n v="3"/>
    <n v="1"/>
    <x v="8"/>
    <n v="2"/>
    <s v="Single"/>
    <n v="2177"/>
    <n v="8318"/>
    <n v="1"/>
    <s v="Y"/>
    <x v="1"/>
    <n v="16"/>
    <n v="3"/>
    <n v="1"/>
    <n v="80"/>
    <n v="0"/>
    <n v="6"/>
    <n v="3"/>
    <n v="3"/>
    <n v="6"/>
    <n v="3"/>
    <n v="0"/>
    <n v="4"/>
    <x v="1"/>
    <x v="0"/>
    <x v="1"/>
  </r>
  <r>
    <n v="53"/>
    <x v="1"/>
    <s v="Travel_Frequently"/>
    <n v="124"/>
    <x v="0"/>
    <n v="2"/>
    <n v="3"/>
    <s v="Marketing"/>
    <n v="1"/>
    <n v="1050"/>
    <n v="3"/>
    <s v="Female"/>
    <n v="38"/>
    <n v="2"/>
    <n v="3"/>
    <x v="0"/>
    <n v="2"/>
    <s v="Married"/>
    <n v="7525"/>
    <n v="23537"/>
    <n v="2"/>
    <s v="Y"/>
    <x v="1"/>
    <n v="12"/>
    <n v="3"/>
    <n v="1"/>
    <n v="80"/>
    <n v="1"/>
    <n v="30"/>
    <n v="2"/>
    <n v="3"/>
    <n v="15"/>
    <n v="7"/>
    <n v="6"/>
    <n v="12"/>
    <x v="1"/>
    <x v="3"/>
    <x v="2"/>
  </r>
  <r>
    <n v="36"/>
    <x v="0"/>
    <s v="Travel_Rarely"/>
    <n v="660"/>
    <x v="1"/>
    <n v="15"/>
    <n v="3"/>
    <s v="Other"/>
    <n v="1"/>
    <n v="1052"/>
    <n v="1"/>
    <s v="Male"/>
    <n v="81"/>
    <n v="3"/>
    <n v="2"/>
    <x v="2"/>
    <n v="3"/>
    <s v="Divorced"/>
    <n v="4834"/>
    <n v="7858"/>
    <n v="7"/>
    <s v="Y"/>
    <x v="1"/>
    <n v="14"/>
    <n v="3"/>
    <n v="2"/>
    <n v="80"/>
    <n v="1"/>
    <n v="9"/>
    <n v="3"/>
    <n v="2"/>
    <n v="1"/>
    <n v="0"/>
    <n v="0"/>
    <n v="0"/>
    <x v="0"/>
    <x v="1"/>
    <x v="0"/>
  </r>
  <r>
    <n v="26"/>
    <x v="0"/>
    <s v="Travel_Frequently"/>
    <n v="342"/>
    <x v="1"/>
    <n v="2"/>
    <n v="3"/>
    <s v="Life Sciences"/>
    <n v="1"/>
    <n v="1053"/>
    <n v="1"/>
    <s v="Male"/>
    <n v="57"/>
    <n v="3"/>
    <n v="1"/>
    <x v="1"/>
    <n v="1"/>
    <s v="Married"/>
    <n v="2042"/>
    <n v="15346"/>
    <n v="6"/>
    <s v="Y"/>
    <x v="0"/>
    <n v="14"/>
    <n v="3"/>
    <n v="2"/>
    <n v="80"/>
    <n v="1"/>
    <n v="6"/>
    <n v="2"/>
    <n v="3"/>
    <n v="3"/>
    <n v="2"/>
    <n v="1"/>
    <n v="2"/>
    <x v="0"/>
    <x v="2"/>
    <x v="1"/>
  </r>
  <r>
    <n v="34"/>
    <x v="1"/>
    <s v="Travel_Rarely"/>
    <n v="1333"/>
    <x v="0"/>
    <n v="10"/>
    <n v="4"/>
    <s v="Life Sciences"/>
    <n v="1"/>
    <n v="1055"/>
    <n v="3"/>
    <s v="Female"/>
    <n v="87"/>
    <n v="3"/>
    <n v="1"/>
    <x v="6"/>
    <n v="3"/>
    <s v="Married"/>
    <n v="2220"/>
    <n v="18410"/>
    <n v="1"/>
    <s v="Y"/>
    <x v="0"/>
    <n v="19"/>
    <n v="3"/>
    <n v="4"/>
    <n v="80"/>
    <n v="1"/>
    <n v="1"/>
    <n v="2"/>
    <n v="3"/>
    <n v="1"/>
    <n v="1"/>
    <n v="0"/>
    <n v="0"/>
    <x v="1"/>
    <x v="1"/>
    <x v="1"/>
  </r>
  <r>
    <n v="28"/>
    <x v="1"/>
    <s v="Travel_Rarely"/>
    <n v="1144"/>
    <x v="0"/>
    <n v="10"/>
    <n v="1"/>
    <s v="Medical"/>
    <n v="1"/>
    <n v="1056"/>
    <n v="4"/>
    <s v="Male"/>
    <n v="74"/>
    <n v="3"/>
    <n v="1"/>
    <x v="6"/>
    <n v="2"/>
    <s v="Married"/>
    <n v="1052"/>
    <n v="23384"/>
    <n v="1"/>
    <s v="Y"/>
    <x v="1"/>
    <n v="22"/>
    <n v="4"/>
    <n v="2"/>
    <n v="80"/>
    <n v="0"/>
    <n v="1"/>
    <n v="5"/>
    <n v="3"/>
    <n v="1"/>
    <n v="0"/>
    <n v="0"/>
    <n v="0"/>
    <x v="1"/>
    <x v="2"/>
    <x v="1"/>
  </r>
  <r>
    <n v="38"/>
    <x v="1"/>
    <s v="Travel_Frequently"/>
    <n v="1186"/>
    <x v="1"/>
    <n v="3"/>
    <n v="4"/>
    <s v="Other"/>
    <n v="1"/>
    <n v="1060"/>
    <n v="3"/>
    <s v="Male"/>
    <n v="44"/>
    <n v="3"/>
    <n v="1"/>
    <x v="1"/>
    <n v="3"/>
    <s v="Married"/>
    <n v="2821"/>
    <n v="2997"/>
    <n v="3"/>
    <s v="Y"/>
    <x v="1"/>
    <n v="16"/>
    <n v="3"/>
    <n v="1"/>
    <n v="80"/>
    <n v="1"/>
    <n v="8"/>
    <n v="2"/>
    <n v="3"/>
    <n v="2"/>
    <n v="2"/>
    <n v="2"/>
    <n v="2"/>
    <x v="1"/>
    <x v="1"/>
    <x v="1"/>
  </r>
  <r>
    <n v="50"/>
    <x v="1"/>
    <s v="Travel_Rarely"/>
    <n v="1464"/>
    <x v="1"/>
    <n v="2"/>
    <n v="4"/>
    <s v="Medical"/>
    <n v="1"/>
    <n v="1061"/>
    <n v="2"/>
    <s v="Male"/>
    <n v="62"/>
    <n v="3"/>
    <n v="5"/>
    <x v="7"/>
    <n v="3"/>
    <s v="Married"/>
    <n v="19237"/>
    <n v="12853"/>
    <n v="2"/>
    <s v="Y"/>
    <x v="0"/>
    <n v="11"/>
    <n v="3"/>
    <n v="4"/>
    <n v="80"/>
    <n v="1"/>
    <n v="29"/>
    <n v="2"/>
    <n v="2"/>
    <n v="8"/>
    <n v="1"/>
    <n v="7"/>
    <n v="7"/>
    <x v="1"/>
    <x v="3"/>
    <x v="2"/>
  </r>
  <r>
    <n v="37"/>
    <x v="1"/>
    <s v="Travel_Rarely"/>
    <n v="124"/>
    <x v="1"/>
    <n v="3"/>
    <n v="3"/>
    <s v="Other"/>
    <n v="1"/>
    <n v="1062"/>
    <n v="4"/>
    <s v="Female"/>
    <n v="35"/>
    <n v="3"/>
    <n v="2"/>
    <x v="4"/>
    <n v="2"/>
    <s v="Single"/>
    <n v="4107"/>
    <n v="13848"/>
    <n v="3"/>
    <s v="Y"/>
    <x v="1"/>
    <n v="15"/>
    <n v="3"/>
    <n v="1"/>
    <n v="80"/>
    <n v="0"/>
    <n v="8"/>
    <n v="3"/>
    <n v="2"/>
    <n v="4"/>
    <n v="3"/>
    <n v="0"/>
    <n v="1"/>
    <x v="1"/>
    <x v="1"/>
    <x v="0"/>
  </r>
  <r>
    <n v="40"/>
    <x v="1"/>
    <s v="Travel_Rarely"/>
    <n v="300"/>
    <x v="0"/>
    <n v="26"/>
    <n v="3"/>
    <s v="Marketing"/>
    <n v="1"/>
    <n v="1066"/>
    <n v="3"/>
    <s v="Male"/>
    <n v="74"/>
    <n v="3"/>
    <n v="2"/>
    <x v="0"/>
    <n v="1"/>
    <s v="Married"/>
    <n v="8396"/>
    <n v="22217"/>
    <n v="1"/>
    <s v="Y"/>
    <x v="1"/>
    <n v="14"/>
    <n v="3"/>
    <n v="2"/>
    <n v="80"/>
    <n v="1"/>
    <n v="8"/>
    <n v="3"/>
    <n v="2"/>
    <n v="7"/>
    <n v="7"/>
    <n v="7"/>
    <n v="5"/>
    <x v="1"/>
    <x v="0"/>
    <x v="2"/>
  </r>
  <r>
    <n v="26"/>
    <x v="1"/>
    <s v="Travel_Frequently"/>
    <n v="921"/>
    <x v="1"/>
    <n v="1"/>
    <n v="1"/>
    <s v="Medical"/>
    <n v="1"/>
    <n v="1068"/>
    <n v="1"/>
    <s v="Female"/>
    <n v="66"/>
    <n v="2"/>
    <n v="1"/>
    <x v="1"/>
    <n v="3"/>
    <s v="Divorced"/>
    <n v="2007"/>
    <n v="25265"/>
    <n v="1"/>
    <s v="Y"/>
    <x v="1"/>
    <n v="13"/>
    <n v="3"/>
    <n v="3"/>
    <n v="80"/>
    <n v="2"/>
    <n v="5"/>
    <n v="5"/>
    <n v="3"/>
    <n v="5"/>
    <n v="3"/>
    <n v="1"/>
    <n v="3"/>
    <x v="1"/>
    <x v="2"/>
    <x v="1"/>
  </r>
  <r>
    <n v="46"/>
    <x v="1"/>
    <s v="Travel_Rarely"/>
    <n v="430"/>
    <x v="1"/>
    <n v="1"/>
    <n v="4"/>
    <s v="Medical"/>
    <n v="1"/>
    <n v="1069"/>
    <n v="4"/>
    <s v="Male"/>
    <n v="40"/>
    <n v="3"/>
    <n v="5"/>
    <x v="7"/>
    <n v="4"/>
    <s v="Divorced"/>
    <n v="19627"/>
    <n v="21445"/>
    <n v="9"/>
    <s v="Y"/>
    <x v="1"/>
    <n v="17"/>
    <n v="3"/>
    <n v="4"/>
    <n v="80"/>
    <n v="2"/>
    <n v="23"/>
    <n v="0"/>
    <n v="3"/>
    <n v="2"/>
    <n v="2"/>
    <n v="2"/>
    <n v="2"/>
    <x v="1"/>
    <x v="0"/>
    <x v="2"/>
  </r>
  <r>
    <n v="54"/>
    <x v="1"/>
    <s v="Travel_Rarely"/>
    <n v="1082"/>
    <x v="0"/>
    <n v="2"/>
    <n v="4"/>
    <s v="Life Sciences"/>
    <n v="1"/>
    <n v="1070"/>
    <n v="3"/>
    <s v="Female"/>
    <n v="41"/>
    <n v="2"/>
    <n v="3"/>
    <x v="0"/>
    <n v="3"/>
    <s v="Married"/>
    <n v="10686"/>
    <n v="8392"/>
    <n v="6"/>
    <s v="Y"/>
    <x v="1"/>
    <n v="11"/>
    <n v="3"/>
    <n v="2"/>
    <n v="80"/>
    <n v="1"/>
    <n v="13"/>
    <n v="4"/>
    <n v="3"/>
    <n v="9"/>
    <n v="4"/>
    <n v="7"/>
    <n v="0"/>
    <x v="1"/>
    <x v="3"/>
    <x v="2"/>
  </r>
  <r>
    <n v="56"/>
    <x v="1"/>
    <s v="Travel_Frequently"/>
    <n v="1240"/>
    <x v="1"/>
    <n v="9"/>
    <n v="3"/>
    <s v="Medical"/>
    <n v="1"/>
    <n v="1071"/>
    <n v="1"/>
    <s v="Female"/>
    <n v="63"/>
    <n v="3"/>
    <n v="1"/>
    <x v="1"/>
    <n v="3"/>
    <s v="Married"/>
    <n v="2942"/>
    <n v="12154"/>
    <n v="2"/>
    <s v="Y"/>
    <x v="1"/>
    <n v="19"/>
    <n v="3"/>
    <n v="2"/>
    <n v="80"/>
    <n v="1"/>
    <n v="18"/>
    <n v="4"/>
    <n v="3"/>
    <n v="5"/>
    <n v="4"/>
    <n v="0"/>
    <n v="3"/>
    <x v="1"/>
    <x v="3"/>
    <x v="1"/>
  </r>
  <r>
    <n v="36"/>
    <x v="1"/>
    <s v="Travel_Rarely"/>
    <n v="796"/>
    <x v="1"/>
    <n v="12"/>
    <n v="5"/>
    <s v="Medical"/>
    <n v="1"/>
    <n v="1073"/>
    <n v="4"/>
    <s v="Female"/>
    <n v="51"/>
    <n v="2"/>
    <n v="3"/>
    <x v="3"/>
    <n v="4"/>
    <s v="Single"/>
    <n v="8858"/>
    <n v="15669"/>
    <n v="0"/>
    <s v="Y"/>
    <x v="1"/>
    <n v="11"/>
    <n v="3"/>
    <n v="2"/>
    <n v="80"/>
    <n v="0"/>
    <n v="15"/>
    <n v="2"/>
    <n v="2"/>
    <n v="14"/>
    <n v="8"/>
    <n v="7"/>
    <n v="8"/>
    <x v="1"/>
    <x v="1"/>
    <x v="2"/>
  </r>
  <r>
    <n v="55"/>
    <x v="1"/>
    <s v="Non-Travel"/>
    <n v="444"/>
    <x v="1"/>
    <n v="2"/>
    <n v="1"/>
    <s v="Medical"/>
    <n v="1"/>
    <n v="1074"/>
    <n v="3"/>
    <s v="Male"/>
    <n v="40"/>
    <n v="2"/>
    <n v="4"/>
    <x v="5"/>
    <n v="1"/>
    <s v="Single"/>
    <n v="16756"/>
    <n v="17323"/>
    <n v="7"/>
    <s v="Y"/>
    <x v="1"/>
    <n v="15"/>
    <n v="3"/>
    <n v="2"/>
    <n v="80"/>
    <n v="0"/>
    <n v="31"/>
    <n v="3"/>
    <n v="4"/>
    <n v="9"/>
    <n v="7"/>
    <n v="6"/>
    <n v="2"/>
    <x v="1"/>
    <x v="3"/>
    <x v="2"/>
  </r>
  <r>
    <n v="43"/>
    <x v="1"/>
    <s v="Travel_Rarely"/>
    <n v="415"/>
    <x v="0"/>
    <n v="25"/>
    <n v="3"/>
    <s v="Medical"/>
    <n v="1"/>
    <n v="1076"/>
    <n v="3"/>
    <s v="Male"/>
    <n v="79"/>
    <n v="2"/>
    <n v="3"/>
    <x v="0"/>
    <n v="4"/>
    <s v="Divorced"/>
    <n v="10798"/>
    <n v="5268"/>
    <n v="5"/>
    <s v="Y"/>
    <x v="1"/>
    <n v="13"/>
    <n v="3"/>
    <n v="3"/>
    <n v="80"/>
    <n v="1"/>
    <n v="18"/>
    <n v="5"/>
    <n v="3"/>
    <n v="1"/>
    <n v="0"/>
    <n v="0"/>
    <n v="0"/>
    <x v="1"/>
    <x v="0"/>
    <x v="2"/>
  </r>
  <r>
    <n v="20"/>
    <x v="0"/>
    <s v="Travel_Frequently"/>
    <n v="769"/>
    <x v="0"/>
    <n v="9"/>
    <n v="3"/>
    <s v="Marketing"/>
    <n v="1"/>
    <n v="1077"/>
    <n v="4"/>
    <s v="Female"/>
    <n v="54"/>
    <n v="3"/>
    <n v="1"/>
    <x v="6"/>
    <n v="4"/>
    <s v="Single"/>
    <n v="2323"/>
    <n v="17205"/>
    <n v="1"/>
    <s v="Y"/>
    <x v="0"/>
    <n v="14"/>
    <n v="3"/>
    <n v="2"/>
    <n v="80"/>
    <n v="0"/>
    <n v="2"/>
    <n v="3"/>
    <n v="3"/>
    <n v="2"/>
    <n v="2"/>
    <n v="0"/>
    <n v="2"/>
    <x v="0"/>
    <x v="2"/>
    <x v="1"/>
  </r>
  <r>
    <n v="21"/>
    <x v="0"/>
    <s v="Travel_Rarely"/>
    <n v="1334"/>
    <x v="1"/>
    <n v="10"/>
    <n v="3"/>
    <s v="Life Sciences"/>
    <n v="1"/>
    <n v="1079"/>
    <n v="3"/>
    <s v="Female"/>
    <n v="36"/>
    <n v="2"/>
    <n v="1"/>
    <x v="2"/>
    <n v="1"/>
    <s v="Single"/>
    <n v="1416"/>
    <n v="17258"/>
    <n v="1"/>
    <s v="Y"/>
    <x v="1"/>
    <n v="13"/>
    <n v="3"/>
    <n v="1"/>
    <n v="80"/>
    <n v="0"/>
    <n v="1"/>
    <n v="6"/>
    <n v="2"/>
    <n v="1"/>
    <n v="0"/>
    <n v="1"/>
    <n v="0"/>
    <x v="0"/>
    <x v="2"/>
    <x v="1"/>
  </r>
  <r>
    <n v="46"/>
    <x v="1"/>
    <s v="Travel_Rarely"/>
    <n v="1003"/>
    <x v="1"/>
    <n v="8"/>
    <n v="4"/>
    <s v="Life Sciences"/>
    <n v="1"/>
    <n v="1080"/>
    <n v="4"/>
    <s v="Female"/>
    <n v="74"/>
    <n v="2"/>
    <n v="2"/>
    <x v="1"/>
    <n v="1"/>
    <s v="Divorced"/>
    <n v="4615"/>
    <n v="21029"/>
    <n v="8"/>
    <s v="Y"/>
    <x v="0"/>
    <n v="23"/>
    <n v="4"/>
    <n v="1"/>
    <n v="80"/>
    <n v="3"/>
    <n v="19"/>
    <n v="2"/>
    <n v="3"/>
    <n v="16"/>
    <n v="13"/>
    <n v="1"/>
    <n v="7"/>
    <x v="1"/>
    <x v="0"/>
    <x v="0"/>
  </r>
  <r>
    <n v="51"/>
    <x v="0"/>
    <s v="Travel_Rarely"/>
    <n v="1323"/>
    <x v="1"/>
    <n v="4"/>
    <n v="4"/>
    <s v="Life Sciences"/>
    <n v="1"/>
    <n v="1081"/>
    <n v="1"/>
    <s v="Male"/>
    <n v="34"/>
    <n v="3"/>
    <n v="1"/>
    <x v="1"/>
    <n v="3"/>
    <s v="Married"/>
    <n v="2461"/>
    <n v="10332"/>
    <n v="9"/>
    <s v="Y"/>
    <x v="0"/>
    <n v="12"/>
    <n v="3"/>
    <n v="3"/>
    <n v="80"/>
    <n v="3"/>
    <n v="18"/>
    <n v="2"/>
    <n v="4"/>
    <n v="10"/>
    <n v="0"/>
    <n v="2"/>
    <n v="7"/>
    <x v="0"/>
    <x v="3"/>
    <x v="1"/>
  </r>
  <r>
    <n v="28"/>
    <x v="0"/>
    <s v="Non-Travel"/>
    <n v="1366"/>
    <x v="1"/>
    <n v="24"/>
    <n v="2"/>
    <s v="Technical Degree"/>
    <n v="1"/>
    <n v="1082"/>
    <n v="2"/>
    <s v="Male"/>
    <n v="72"/>
    <n v="2"/>
    <n v="3"/>
    <x v="4"/>
    <n v="1"/>
    <s v="Single"/>
    <n v="8722"/>
    <n v="12355"/>
    <n v="1"/>
    <s v="Y"/>
    <x v="1"/>
    <n v="12"/>
    <n v="3"/>
    <n v="1"/>
    <n v="80"/>
    <n v="0"/>
    <n v="10"/>
    <n v="2"/>
    <n v="2"/>
    <n v="10"/>
    <n v="7"/>
    <n v="1"/>
    <n v="9"/>
    <x v="0"/>
    <x v="2"/>
    <x v="2"/>
  </r>
  <r>
    <n v="26"/>
    <x v="1"/>
    <s v="Travel_Rarely"/>
    <n v="192"/>
    <x v="1"/>
    <n v="1"/>
    <n v="2"/>
    <s v="Medical"/>
    <n v="1"/>
    <n v="1083"/>
    <n v="1"/>
    <s v="Male"/>
    <n v="59"/>
    <n v="2"/>
    <n v="1"/>
    <x v="2"/>
    <n v="1"/>
    <s v="Married"/>
    <n v="3955"/>
    <n v="11141"/>
    <n v="1"/>
    <s v="Y"/>
    <x v="1"/>
    <n v="16"/>
    <n v="3"/>
    <n v="1"/>
    <n v="80"/>
    <n v="2"/>
    <n v="6"/>
    <n v="2"/>
    <n v="3"/>
    <n v="5"/>
    <n v="3"/>
    <n v="1"/>
    <n v="3"/>
    <x v="1"/>
    <x v="2"/>
    <x v="0"/>
  </r>
  <r>
    <n v="30"/>
    <x v="1"/>
    <s v="Travel_Rarely"/>
    <n v="1176"/>
    <x v="1"/>
    <n v="20"/>
    <n v="3"/>
    <s v="Other"/>
    <n v="1"/>
    <n v="1084"/>
    <n v="3"/>
    <s v="Male"/>
    <n v="85"/>
    <n v="3"/>
    <n v="2"/>
    <x v="3"/>
    <n v="1"/>
    <s v="Married"/>
    <n v="9957"/>
    <n v="9096"/>
    <n v="0"/>
    <s v="Y"/>
    <x v="1"/>
    <n v="15"/>
    <n v="3"/>
    <n v="3"/>
    <n v="80"/>
    <n v="1"/>
    <n v="7"/>
    <n v="1"/>
    <n v="2"/>
    <n v="6"/>
    <n v="2"/>
    <n v="0"/>
    <n v="2"/>
    <x v="1"/>
    <x v="1"/>
    <x v="2"/>
  </r>
  <r>
    <n v="41"/>
    <x v="1"/>
    <s v="Travel_Rarely"/>
    <n v="509"/>
    <x v="1"/>
    <n v="7"/>
    <n v="2"/>
    <s v="Technical Degree"/>
    <n v="1"/>
    <n v="1085"/>
    <n v="2"/>
    <s v="Female"/>
    <n v="43"/>
    <n v="4"/>
    <n v="1"/>
    <x v="1"/>
    <n v="3"/>
    <s v="Married"/>
    <n v="3376"/>
    <n v="18863"/>
    <n v="1"/>
    <s v="Y"/>
    <x v="1"/>
    <n v="13"/>
    <n v="3"/>
    <n v="3"/>
    <n v="80"/>
    <n v="0"/>
    <n v="10"/>
    <n v="3"/>
    <n v="3"/>
    <n v="10"/>
    <n v="6"/>
    <n v="0"/>
    <n v="8"/>
    <x v="1"/>
    <x v="0"/>
    <x v="0"/>
  </r>
  <r>
    <n v="38"/>
    <x v="1"/>
    <s v="Travel_Rarely"/>
    <n v="330"/>
    <x v="1"/>
    <n v="17"/>
    <n v="1"/>
    <s v="Life Sciences"/>
    <n v="1"/>
    <n v="1088"/>
    <n v="3"/>
    <s v="Female"/>
    <n v="65"/>
    <n v="2"/>
    <n v="3"/>
    <x v="4"/>
    <n v="3"/>
    <s v="Married"/>
    <n v="8823"/>
    <n v="24608"/>
    <n v="0"/>
    <s v="Y"/>
    <x v="1"/>
    <n v="18"/>
    <n v="3"/>
    <n v="1"/>
    <n v="80"/>
    <n v="1"/>
    <n v="20"/>
    <n v="4"/>
    <n v="2"/>
    <n v="19"/>
    <n v="9"/>
    <n v="1"/>
    <n v="9"/>
    <x v="1"/>
    <x v="1"/>
    <x v="2"/>
  </r>
  <r>
    <n v="40"/>
    <x v="1"/>
    <s v="Travel_Rarely"/>
    <n v="1492"/>
    <x v="1"/>
    <n v="20"/>
    <n v="4"/>
    <s v="Technical Degree"/>
    <n v="1"/>
    <n v="1092"/>
    <n v="1"/>
    <s v="Male"/>
    <n v="61"/>
    <n v="3"/>
    <n v="3"/>
    <x v="4"/>
    <n v="4"/>
    <s v="Married"/>
    <n v="10322"/>
    <n v="26542"/>
    <n v="4"/>
    <s v="Y"/>
    <x v="1"/>
    <n v="20"/>
    <n v="4"/>
    <n v="4"/>
    <n v="80"/>
    <n v="1"/>
    <n v="14"/>
    <n v="6"/>
    <n v="3"/>
    <n v="11"/>
    <n v="10"/>
    <n v="11"/>
    <n v="1"/>
    <x v="1"/>
    <x v="0"/>
    <x v="2"/>
  </r>
  <r>
    <n v="27"/>
    <x v="1"/>
    <s v="Non-Travel"/>
    <n v="1277"/>
    <x v="1"/>
    <n v="8"/>
    <n v="5"/>
    <s v="Life Sciences"/>
    <n v="1"/>
    <n v="1094"/>
    <n v="1"/>
    <s v="Male"/>
    <n v="87"/>
    <n v="1"/>
    <n v="1"/>
    <x v="2"/>
    <n v="3"/>
    <s v="Married"/>
    <n v="4621"/>
    <n v="5869"/>
    <n v="1"/>
    <s v="Y"/>
    <x v="1"/>
    <n v="19"/>
    <n v="3"/>
    <n v="4"/>
    <n v="80"/>
    <n v="3"/>
    <n v="3"/>
    <n v="4"/>
    <n v="3"/>
    <n v="3"/>
    <n v="2"/>
    <n v="1"/>
    <n v="2"/>
    <x v="1"/>
    <x v="2"/>
    <x v="0"/>
  </r>
  <r>
    <n v="55"/>
    <x v="1"/>
    <s v="Travel_Frequently"/>
    <n v="1091"/>
    <x v="1"/>
    <n v="2"/>
    <n v="1"/>
    <s v="Life Sciences"/>
    <n v="1"/>
    <n v="1096"/>
    <n v="4"/>
    <s v="Male"/>
    <n v="65"/>
    <n v="3"/>
    <n v="3"/>
    <x v="3"/>
    <n v="2"/>
    <s v="Married"/>
    <n v="10976"/>
    <n v="15813"/>
    <n v="3"/>
    <s v="Y"/>
    <x v="1"/>
    <n v="18"/>
    <n v="3"/>
    <n v="2"/>
    <n v="80"/>
    <n v="1"/>
    <n v="23"/>
    <n v="4"/>
    <n v="3"/>
    <n v="3"/>
    <n v="2"/>
    <n v="1"/>
    <n v="2"/>
    <x v="1"/>
    <x v="3"/>
    <x v="2"/>
  </r>
  <r>
    <n v="28"/>
    <x v="1"/>
    <s v="Travel_Rarely"/>
    <n v="857"/>
    <x v="1"/>
    <n v="10"/>
    <n v="3"/>
    <s v="Other"/>
    <n v="1"/>
    <n v="1097"/>
    <n v="3"/>
    <s v="Female"/>
    <n v="59"/>
    <n v="3"/>
    <n v="2"/>
    <x v="1"/>
    <n v="3"/>
    <s v="Single"/>
    <n v="3660"/>
    <n v="7909"/>
    <n v="3"/>
    <s v="Y"/>
    <x v="1"/>
    <n v="13"/>
    <n v="3"/>
    <n v="4"/>
    <n v="80"/>
    <n v="0"/>
    <n v="10"/>
    <n v="4"/>
    <n v="4"/>
    <n v="8"/>
    <n v="7"/>
    <n v="1"/>
    <n v="7"/>
    <x v="1"/>
    <x v="2"/>
    <x v="0"/>
  </r>
  <r>
    <n v="44"/>
    <x v="0"/>
    <s v="Travel_Rarely"/>
    <n v="1376"/>
    <x v="2"/>
    <n v="1"/>
    <n v="2"/>
    <s v="Medical"/>
    <n v="1"/>
    <n v="1098"/>
    <n v="2"/>
    <s v="Male"/>
    <n v="91"/>
    <n v="2"/>
    <n v="3"/>
    <x v="8"/>
    <n v="1"/>
    <s v="Married"/>
    <n v="10482"/>
    <n v="2326"/>
    <n v="9"/>
    <s v="Y"/>
    <x v="1"/>
    <n v="14"/>
    <n v="3"/>
    <n v="4"/>
    <n v="80"/>
    <n v="1"/>
    <n v="24"/>
    <n v="1"/>
    <n v="3"/>
    <n v="20"/>
    <n v="6"/>
    <n v="3"/>
    <n v="6"/>
    <x v="0"/>
    <x v="0"/>
    <x v="2"/>
  </r>
  <r>
    <n v="33"/>
    <x v="1"/>
    <s v="Travel_Rarely"/>
    <n v="654"/>
    <x v="1"/>
    <n v="5"/>
    <n v="3"/>
    <s v="Life Sciences"/>
    <n v="1"/>
    <n v="1099"/>
    <n v="4"/>
    <s v="Male"/>
    <n v="34"/>
    <n v="2"/>
    <n v="3"/>
    <x v="4"/>
    <n v="4"/>
    <s v="Divorced"/>
    <n v="7119"/>
    <n v="21214"/>
    <n v="4"/>
    <s v="Y"/>
    <x v="1"/>
    <n v="15"/>
    <n v="3"/>
    <n v="3"/>
    <n v="80"/>
    <n v="1"/>
    <n v="9"/>
    <n v="2"/>
    <n v="3"/>
    <n v="3"/>
    <n v="2"/>
    <n v="1"/>
    <n v="2"/>
    <x v="1"/>
    <x v="1"/>
    <x v="2"/>
  </r>
  <r>
    <n v="35"/>
    <x v="0"/>
    <s v="Travel_Rarely"/>
    <n v="1204"/>
    <x v="0"/>
    <n v="4"/>
    <n v="3"/>
    <s v="Technical Degree"/>
    <n v="1"/>
    <n v="1100"/>
    <n v="4"/>
    <s v="Male"/>
    <n v="86"/>
    <n v="3"/>
    <n v="3"/>
    <x v="0"/>
    <n v="1"/>
    <s v="Single"/>
    <n v="9582"/>
    <n v="10333"/>
    <n v="0"/>
    <s v="Y"/>
    <x v="0"/>
    <n v="22"/>
    <n v="4"/>
    <n v="1"/>
    <n v="80"/>
    <n v="0"/>
    <n v="9"/>
    <n v="2"/>
    <n v="3"/>
    <n v="8"/>
    <n v="7"/>
    <n v="4"/>
    <n v="7"/>
    <x v="0"/>
    <x v="1"/>
    <x v="2"/>
  </r>
  <r>
    <n v="33"/>
    <x v="0"/>
    <s v="Travel_Frequently"/>
    <n v="827"/>
    <x v="1"/>
    <n v="29"/>
    <n v="4"/>
    <s v="Medical"/>
    <n v="1"/>
    <n v="1101"/>
    <n v="1"/>
    <s v="Female"/>
    <n v="54"/>
    <n v="2"/>
    <n v="2"/>
    <x v="1"/>
    <n v="3"/>
    <s v="Single"/>
    <n v="4508"/>
    <n v="3129"/>
    <n v="1"/>
    <s v="Y"/>
    <x v="1"/>
    <n v="22"/>
    <n v="4"/>
    <n v="2"/>
    <n v="80"/>
    <n v="0"/>
    <n v="14"/>
    <n v="4"/>
    <n v="3"/>
    <n v="13"/>
    <n v="7"/>
    <n v="3"/>
    <n v="8"/>
    <x v="0"/>
    <x v="1"/>
    <x v="0"/>
  </r>
  <r>
    <n v="28"/>
    <x v="1"/>
    <s v="Travel_Rarely"/>
    <n v="895"/>
    <x v="1"/>
    <n v="15"/>
    <n v="2"/>
    <s v="Life Sciences"/>
    <n v="1"/>
    <n v="1102"/>
    <n v="1"/>
    <s v="Male"/>
    <n v="50"/>
    <n v="3"/>
    <n v="1"/>
    <x v="2"/>
    <n v="3"/>
    <s v="Divorced"/>
    <n v="2207"/>
    <n v="22482"/>
    <n v="1"/>
    <s v="Y"/>
    <x v="1"/>
    <n v="16"/>
    <n v="3"/>
    <n v="4"/>
    <n v="80"/>
    <n v="1"/>
    <n v="4"/>
    <n v="5"/>
    <n v="2"/>
    <n v="4"/>
    <n v="2"/>
    <n v="2"/>
    <n v="2"/>
    <x v="1"/>
    <x v="2"/>
    <x v="1"/>
  </r>
  <r>
    <n v="34"/>
    <x v="1"/>
    <s v="Travel_Frequently"/>
    <n v="618"/>
    <x v="1"/>
    <n v="3"/>
    <n v="1"/>
    <s v="Life Sciences"/>
    <n v="1"/>
    <n v="1103"/>
    <n v="1"/>
    <s v="Male"/>
    <n v="45"/>
    <n v="3"/>
    <n v="2"/>
    <x v="4"/>
    <n v="4"/>
    <s v="Single"/>
    <n v="7756"/>
    <n v="22266"/>
    <n v="0"/>
    <s v="Y"/>
    <x v="1"/>
    <n v="17"/>
    <n v="3"/>
    <n v="3"/>
    <n v="80"/>
    <n v="0"/>
    <n v="7"/>
    <n v="1"/>
    <n v="2"/>
    <n v="6"/>
    <n v="2"/>
    <n v="0"/>
    <n v="4"/>
    <x v="1"/>
    <x v="1"/>
    <x v="2"/>
  </r>
  <r>
    <n v="37"/>
    <x v="1"/>
    <s v="Travel_Rarely"/>
    <n v="309"/>
    <x v="0"/>
    <n v="10"/>
    <n v="4"/>
    <s v="Life Sciences"/>
    <n v="1"/>
    <n v="1105"/>
    <n v="4"/>
    <s v="Female"/>
    <n v="88"/>
    <n v="2"/>
    <n v="2"/>
    <x v="0"/>
    <n v="4"/>
    <s v="Divorced"/>
    <n v="6694"/>
    <n v="24223"/>
    <n v="2"/>
    <s v="Y"/>
    <x v="0"/>
    <n v="14"/>
    <n v="3"/>
    <n v="3"/>
    <n v="80"/>
    <n v="3"/>
    <n v="8"/>
    <n v="5"/>
    <n v="3"/>
    <n v="1"/>
    <n v="0"/>
    <n v="0"/>
    <n v="0"/>
    <x v="1"/>
    <x v="1"/>
    <x v="0"/>
  </r>
  <r>
    <n v="25"/>
    <x v="0"/>
    <s v="Travel_Rarely"/>
    <n v="1219"/>
    <x v="1"/>
    <n v="4"/>
    <n v="1"/>
    <s v="Technical Degree"/>
    <n v="1"/>
    <n v="1106"/>
    <n v="4"/>
    <s v="Male"/>
    <n v="32"/>
    <n v="3"/>
    <n v="1"/>
    <x v="2"/>
    <n v="4"/>
    <s v="Married"/>
    <n v="3691"/>
    <n v="4605"/>
    <n v="1"/>
    <s v="Y"/>
    <x v="0"/>
    <n v="15"/>
    <n v="3"/>
    <n v="2"/>
    <n v="80"/>
    <n v="1"/>
    <n v="7"/>
    <n v="3"/>
    <n v="4"/>
    <n v="7"/>
    <n v="7"/>
    <n v="5"/>
    <n v="6"/>
    <x v="0"/>
    <x v="2"/>
    <x v="0"/>
  </r>
  <r>
    <n v="26"/>
    <x v="0"/>
    <s v="Travel_Rarely"/>
    <n v="1330"/>
    <x v="1"/>
    <n v="21"/>
    <n v="3"/>
    <s v="Medical"/>
    <n v="1"/>
    <n v="1107"/>
    <n v="1"/>
    <s v="Male"/>
    <n v="37"/>
    <n v="3"/>
    <n v="1"/>
    <x v="2"/>
    <n v="3"/>
    <s v="Divorced"/>
    <n v="2377"/>
    <n v="19373"/>
    <n v="1"/>
    <s v="Y"/>
    <x v="1"/>
    <n v="20"/>
    <n v="4"/>
    <n v="3"/>
    <n v="80"/>
    <n v="1"/>
    <n v="1"/>
    <n v="0"/>
    <n v="2"/>
    <n v="1"/>
    <n v="1"/>
    <n v="0"/>
    <n v="0"/>
    <x v="0"/>
    <x v="2"/>
    <x v="1"/>
  </r>
  <r>
    <n v="33"/>
    <x v="0"/>
    <s v="Travel_Rarely"/>
    <n v="1017"/>
    <x v="1"/>
    <n v="25"/>
    <n v="3"/>
    <s v="Medical"/>
    <n v="1"/>
    <n v="1108"/>
    <n v="1"/>
    <s v="Male"/>
    <n v="55"/>
    <n v="2"/>
    <n v="1"/>
    <x v="1"/>
    <n v="2"/>
    <s v="Single"/>
    <n v="2313"/>
    <n v="2993"/>
    <n v="4"/>
    <s v="Y"/>
    <x v="0"/>
    <n v="20"/>
    <n v="4"/>
    <n v="2"/>
    <n v="80"/>
    <n v="0"/>
    <n v="5"/>
    <n v="0"/>
    <n v="3"/>
    <n v="2"/>
    <n v="2"/>
    <n v="2"/>
    <n v="2"/>
    <x v="0"/>
    <x v="1"/>
    <x v="1"/>
  </r>
  <r>
    <n v="42"/>
    <x v="1"/>
    <s v="Travel_Rarely"/>
    <n v="469"/>
    <x v="1"/>
    <n v="2"/>
    <n v="2"/>
    <s v="Medical"/>
    <n v="1"/>
    <n v="1109"/>
    <n v="4"/>
    <s v="Male"/>
    <n v="35"/>
    <n v="3"/>
    <n v="4"/>
    <x v="5"/>
    <n v="1"/>
    <s v="Married"/>
    <n v="17665"/>
    <n v="14399"/>
    <n v="0"/>
    <s v="Y"/>
    <x v="1"/>
    <n v="17"/>
    <n v="3"/>
    <n v="4"/>
    <n v="80"/>
    <n v="1"/>
    <n v="23"/>
    <n v="3"/>
    <n v="3"/>
    <n v="22"/>
    <n v="6"/>
    <n v="13"/>
    <n v="7"/>
    <x v="1"/>
    <x v="0"/>
    <x v="2"/>
  </r>
  <r>
    <n v="28"/>
    <x v="0"/>
    <s v="Travel_Frequently"/>
    <n v="1009"/>
    <x v="1"/>
    <n v="1"/>
    <n v="3"/>
    <s v="Medical"/>
    <n v="1"/>
    <n v="1111"/>
    <n v="1"/>
    <s v="Male"/>
    <n v="45"/>
    <n v="2"/>
    <n v="1"/>
    <x v="2"/>
    <n v="2"/>
    <s v="Divorced"/>
    <n v="2596"/>
    <n v="7160"/>
    <n v="1"/>
    <s v="Y"/>
    <x v="1"/>
    <n v="15"/>
    <n v="3"/>
    <n v="1"/>
    <n v="80"/>
    <n v="2"/>
    <n v="1"/>
    <n v="2"/>
    <n v="3"/>
    <n v="1"/>
    <n v="0"/>
    <n v="0"/>
    <n v="0"/>
    <x v="0"/>
    <x v="2"/>
    <x v="1"/>
  </r>
  <r>
    <n v="50"/>
    <x v="0"/>
    <s v="Travel_Frequently"/>
    <n v="959"/>
    <x v="0"/>
    <n v="1"/>
    <n v="4"/>
    <s v="Other"/>
    <n v="1"/>
    <n v="1113"/>
    <n v="4"/>
    <s v="Male"/>
    <n v="81"/>
    <n v="3"/>
    <n v="2"/>
    <x v="0"/>
    <n v="3"/>
    <s v="Single"/>
    <n v="4728"/>
    <n v="17251"/>
    <n v="3"/>
    <s v="Y"/>
    <x v="0"/>
    <n v="14"/>
    <n v="3"/>
    <n v="4"/>
    <n v="80"/>
    <n v="0"/>
    <n v="5"/>
    <n v="4"/>
    <n v="3"/>
    <n v="0"/>
    <n v="0"/>
    <n v="0"/>
    <n v="0"/>
    <x v="0"/>
    <x v="3"/>
    <x v="0"/>
  </r>
  <r>
    <n v="33"/>
    <x v="1"/>
    <s v="Travel_Frequently"/>
    <n v="970"/>
    <x v="0"/>
    <n v="7"/>
    <n v="3"/>
    <s v="Life Sciences"/>
    <n v="1"/>
    <n v="1114"/>
    <n v="4"/>
    <s v="Female"/>
    <n v="30"/>
    <n v="3"/>
    <n v="2"/>
    <x v="0"/>
    <n v="2"/>
    <s v="Married"/>
    <n v="4302"/>
    <n v="13401"/>
    <n v="0"/>
    <s v="Y"/>
    <x v="1"/>
    <n v="17"/>
    <n v="3"/>
    <n v="3"/>
    <n v="80"/>
    <n v="1"/>
    <n v="4"/>
    <n v="3"/>
    <n v="3"/>
    <n v="3"/>
    <n v="2"/>
    <n v="0"/>
    <n v="2"/>
    <x v="1"/>
    <x v="1"/>
    <x v="0"/>
  </r>
  <r>
    <n v="34"/>
    <x v="1"/>
    <s v="Non-Travel"/>
    <n v="697"/>
    <x v="1"/>
    <n v="3"/>
    <n v="4"/>
    <s v="Life Sciences"/>
    <n v="1"/>
    <n v="1115"/>
    <n v="3"/>
    <s v="Male"/>
    <n v="40"/>
    <n v="2"/>
    <n v="1"/>
    <x v="1"/>
    <n v="4"/>
    <s v="Married"/>
    <n v="2979"/>
    <n v="22478"/>
    <n v="3"/>
    <s v="Y"/>
    <x v="1"/>
    <n v="17"/>
    <n v="3"/>
    <n v="4"/>
    <n v="80"/>
    <n v="3"/>
    <n v="6"/>
    <n v="2"/>
    <n v="3"/>
    <n v="0"/>
    <n v="0"/>
    <n v="0"/>
    <n v="0"/>
    <x v="1"/>
    <x v="1"/>
    <x v="1"/>
  </r>
  <r>
    <n v="48"/>
    <x v="1"/>
    <s v="Non-Travel"/>
    <n v="1262"/>
    <x v="1"/>
    <n v="1"/>
    <n v="4"/>
    <s v="Medical"/>
    <n v="1"/>
    <n v="1116"/>
    <n v="1"/>
    <s v="Male"/>
    <n v="35"/>
    <n v="4"/>
    <n v="4"/>
    <x v="5"/>
    <n v="4"/>
    <s v="Single"/>
    <n v="16885"/>
    <n v="16154"/>
    <n v="2"/>
    <s v="Y"/>
    <x v="1"/>
    <n v="22"/>
    <n v="4"/>
    <n v="3"/>
    <n v="80"/>
    <n v="0"/>
    <n v="27"/>
    <n v="3"/>
    <n v="2"/>
    <n v="5"/>
    <n v="4"/>
    <n v="2"/>
    <n v="1"/>
    <x v="1"/>
    <x v="0"/>
    <x v="2"/>
  </r>
  <r>
    <n v="45"/>
    <x v="1"/>
    <s v="Non-Travel"/>
    <n v="1050"/>
    <x v="0"/>
    <n v="9"/>
    <n v="4"/>
    <s v="Life Sciences"/>
    <n v="1"/>
    <n v="1117"/>
    <n v="2"/>
    <s v="Female"/>
    <n v="65"/>
    <n v="2"/>
    <n v="2"/>
    <x v="0"/>
    <n v="3"/>
    <s v="Married"/>
    <n v="5593"/>
    <n v="17970"/>
    <n v="1"/>
    <s v="Y"/>
    <x v="1"/>
    <n v="13"/>
    <n v="3"/>
    <n v="4"/>
    <n v="80"/>
    <n v="1"/>
    <n v="15"/>
    <n v="2"/>
    <n v="3"/>
    <n v="15"/>
    <n v="10"/>
    <n v="4"/>
    <n v="12"/>
    <x v="1"/>
    <x v="0"/>
    <x v="0"/>
  </r>
  <r>
    <n v="52"/>
    <x v="1"/>
    <s v="Travel_Rarely"/>
    <n v="994"/>
    <x v="1"/>
    <n v="7"/>
    <n v="4"/>
    <s v="Life Sciences"/>
    <n v="1"/>
    <n v="1118"/>
    <n v="2"/>
    <s v="Male"/>
    <n v="87"/>
    <n v="3"/>
    <n v="3"/>
    <x v="4"/>
    <n v="2"/>
    <s v="Single"/>
    <n v="10445"/>
    <n v="15322"/>
    <n v="7"/>
    <s v="Y"/>
    <x v="1"/>
    <n v="19"/>
    <n v="3"/>
    <n v="4"/>
    <n v="80"/>
    <n v="0"/>
    <n v="18"/>
    <n v="4"/>
    <n v="3"/>
    <n v="8"/>
    <n v="6"/>
    <n v="4"/>
    <n v="0"/>
    <x v="1"/>
    <x v="3"/>
    <x v="2"/>
  </r>
  <r>
    <n v="38"/>
    <x v="1"/>
    <s v="Travel_Rarely"/>
    <n v="770"/>
    <x v="0"/>
    <n v="10"/>
    <n v="4"/>
    <s v="Marketing"/>
    <n v="1"/>
    <n v="1119"/>
    <n v="3"/>
    <s v="Male"/>
    <n v="73"/>
    <n v="2"/>
    <n v="3"/>
    <x v="0"/>
    <n v="3"/>
    <s v="Divorced"/>
    <n v="8740"/>
    <n v="5569"/>
    <n v="0"/>
    <s v="Y"/>
    <x v="0"/>
    <n v="14"/>
    <n v="3"/>
    <n v="2"/>
    <n v="80"/>
    <n v="2"/>
    <n v="9"/>
    <n v="2"/>
    <n v="3"/>
    <n v="8"/>
    <n v="7"/>
    <n v="2"/>
    <n v="7"/>
    <x v="1"/>
    <x v="1"/>
    <x v="2"/>
  </r>
  <r>
    <n v="29"/>
    <x v="1"/>
    <s v="Travel_Rarely"/>
    <n v="1107"/>
    <x v="1"/>
    <n v="28"/>
    <n v="4"/>
    <s v="Life Sciences"/>
    <n v="1"/>
    <n v="1120"/>
    <n v="3"/>
    <s v="Female"/>
    <n v="93"/>
    <n v="3"/>
    <n v="1"/>
    <x v="1"/>
    <n v="4"/>
    <s v="Divorced"/>
    <n v="2514"/>
    <n v="26968"/>
    <n v="4"/>
    <s v="Y"/>
    <x v="1"/>
    <n v="22"/>
    <n v="4"/>
    <n v="1"/>
    <n v="80"/>
    <n v="1"/>
    <n v="11"/>
    <n v="1"/>
    <n v="3"/>
    <n v="7"/>
    <n v="5"/>
    <n v="1"/>
    <n v="7"/>
    <x v="1"/>
    <x v="2"/>
    <x v="1"/>
  </r>
  <r>
    <n v="28"/>
    <x v="1"/>
    <s v="Travel_Rarely"/>
    <n v="950"/>
    <x v="1"/>
    <n v="3"/>
    <n v="3"/>
    <s v="Medical"/>
    <n v="1"/>
    <n v="1121"/>
    <n v="4"/>
    <s v="Female"/>
    <n v="93"/>
    <n v="3"/>
    <n v="3"/>
    <x v="3"/>
    <n v="2"/>
    <s v="Divorced"/>
    <n v="7655"/>
    <n v="8039"/>
    <n v="0"/>
    <s v="Y"/>
    <x v="1"/>
    <n v="17"/>
    <n v="3"/>
    <n v="2"/>
    <n v="80"/>
    <n v="3"/>
    <n v="10"/>
    <n v="3"/>
    <n v="2"/>
    <n v="9"/>
    <n v="7"/>
    <n v="1"/>
    <n v="7"/>
    <x v="1"/>
    <x v="2"/>
    <x v="2"/>
  </r>
  <r>
    <n v="46"/>
    <x v="1"/>
    <s v="Travel_Rarely"/>
    <n v="406"/>
    <x v="0"/>
    <n v="3"/>
    <n v="1"/>
    <s v="Marketing"/>
    <n v="1"/>
    <n v="1124"/>
    <n v="1"/>
    <s v="Male"/>
    <n v="52"/>
    <n v="3"/>
    <n v="4"/>
    <x v="5"/>
    <n v="3"/>
    <s v="Married"/>
    <n v="17465"/>
    <n v="15596"/>
    <n v="3"/>
    <s v="Y"/>
    <x v="1"/>
    <n v="12"/>
    <n v="3"/>
    <n v="4"/>
    <n v="80"/>
    <n v="1"/>
    <n v="23"/>
    <n v="3"/>
    <n v="3"/>
    <n v="12"/>
    <n v="9"/>
    <n v="4"/>
    <n v="9"/>
    <x v="1"/>
    <x v="0"/>
    <x v="2"/>
  </r>
  <r>
    <n v="38"/>
    <x v="1"/>
    <s v="Travel_Rarely"/>
    <n v="130"/>
    <x v="0"/>
    <n v="2"/>
    <n v="2"/>
    <s v="Marketing"/>
    <n v="1"/>
    <n v="1125"/>
    <n v="4"/>
    <s v="Male"/>
    <n v="32"/>
    <n v="3"/>
    <n v="3"/>
    <x v="0"/>
    <n v="2"/>
    <s v="Single"/>
    <n v="7351"/>
    <n v="20619"/>
    <n v="7"/>
    <s v="Y"/>
    <x v="1"/>
    <n v="16"/>
    <n v="3"/>
    <n v="3"/>
    <n v="80"/>
    <n v="0"/>
    <n v="10"/>
    <n v="2"/>
    <n v="3"/>
    <n v="1"/>
    <n v="0"/>
    <n v="0"/>
    <n v="0"/>
    <x v="1"/>
    <x v="1"/>
    <x v="2"/>
  </r>
  <r>
    <n v="43"/>
    <x v="1"/>
    <s v="Travel_Frequently"/>
    <n v="1082"/>
    <x v="1"/>
    <n v="27"/>
    <n v="3"/>
    <s v="Life Sciences"/>
    <n v="1"/>
    <n v="1126"/>
    <n v="3"/>
    <s v="Female"/>
    <n v="83"/>
    <n v="3"/>
    <n v="3"/>
    <x v="3"/>
    <n v="1"/>
    <s v="Married"/>
    <n v="10820"/>
    <n v="11535"/>
    <n v="8"/>
    <s v="Y"/>
    <x v="1"/>
    <n v="11"/>
    <n v="3"/>
    <n v="3"/>
    <n v="80"/>
    <n v="1"/>
    <n v="18"/>
    <n v="1"/>
    <n v="3"/>
    <n v="8"/>
    <n v="7"/>
    <n v="0"/>
    <n v="1"/>
    <x v="1"/>
    <x v="0"/>
    <x v="2"/>
  </r>
  <r>
    <n v="39"/>
    <x v="0"/>
    <s v="Travel_Frequently"/>
    <n v="203"/>
    <x v="1"/>
    <n v="2"/>
    <n v="3"/>
    <s v="Life Sciences"/>
    <n v="1"/>
    <n v="1127"/>
    <n v="1"/>
    <s v="Male"/>
    <n v="84"/>
    <n v="3"/>
    <n v="4"/>
    <x v="4"/>
    <n v="4"/>
    <s v="Divorced"/>
    <n v="12169"/>
    <n v="13547"/>
    <n v="7"/>
    <s v="Y"/>
    <x v="1"/>
    <n v="11"/>
    <n v="3"/>
    <n v="4"/>
    <n v="80"/>
    <n v="3"/>
    <n v="21"/>
    <n v="4"/>
    <n v="3"/>
    <n v="18"/>
    <n v="7"/>
    <n v="11"/>
    <n v="5"/>
    <x v="0"/>
    <x v="1"/>
    <x v="2"/>
  </r>
  <r>
    <n v="40"/>
    <x v="1"/>
    <s v="Travel_Rarely"/>
    <n v="1308"/>
    <x v="1"/>
    <n v="14"/>
    <n v="3"/>
    <s v="Medical"/>
    <n v="1"/>
    <n v="1128"/>
    <n v="3"/>
    <s v="Male"/>
    <n v="44"/>
    <n v="2"/>
    <n v="5"/>
    <x v="7"/>
    <n v="3"/>
    <s v="Single"/>
    <n v="19626"/>
    <n v="17544"/>
    <n v="1"/>
    <s v="Y"/>
    <x v="1"/>
    <n v="14"/>
    <n v="3"/>
    <n v="1"/>
    <n v="80"/>
    <n v="0"/>
    <n v="21"/>
    <n v="2"/>
    <n v="4"/>
    <n v="20"/>
    <n v="7"/>
    <n v="4"/>
    <n v="9"/>
    <x v="1"/>
    <x v="0"/>
    <x v="2"/>
  </r>
  <r>
    <n v="21"/>
    <x v="1"/>
    <s v="Travel_Rarely"/>
    <n v="984"/>
    <x v="1"/>
    <n v="1"/>
    <n v="1"/>
    <s v="Technical Degree"/>
    <n v="1"/>
    <n v="1131"/>
    <n v="4"/>
    <s v="Female"/>
    <n v="70"/>
    <n v="2"/>
    <n v="1"/>
    <x v="1"/>
    <n v="2"/>
    <s v="Single"/>
    <n v="2070"/>
    <n v="25326"/>
    <n v="1"/>
    <s v="Y"/>
    <x v="0"/>
    <n v="11"/>
    <n v="3"/>
    <n v="3"/>
    <n v="80"/>
    <n v="0"/>
    <n v="2"/>
    <n v="6"/>
    <n v="4"/>
    <n v="2"/>
    <n v="2"/>
    <n v="2"/>
    <n v="2"/>
    <x v="1"/>
    <x v="2"/>
    <x v="1"/>
  </r>
  <r>
    <n v="39"/>
    <x v="1"/>
    <s v="Non-Travel"/>
    <n v="439"/>
    <x v="1"/>
    <n v="9"/>
    <n v="3"/>
    <s v="Life Sciences"/>
    <n v="1"/>
    <n v="1132"/>
    <n v="3"/>
    <s v="Male"/>
    <n v="70"/>
    <n v="3"/>
    <n v="2"/>
    <x v="2"/>
    <n v="2"/>
    <s v="Single"/>
    <n v="6782"/>
    <n v="8770"/>
    <n v="9"/>
    <s v="Y"/>
    <x v="1"/>
    <n v="15"/>
    <n v="3"/>
    <n v="3"/>
    <n v="80"/>
    <n v="0"/>
    <n v="9"/>
    <n v="2"/>
    <n v="2"/>
    <n v="5"/>
    <n v="4"/>
    <n v="0"/>
    <n v="3"/>
    <x v="1"/>
    <x v="1"/>
    <x v="0"/>
  </r>
  <r>
    <n v="36"/>
    <x v="1"/>
    <s v="Non-Travel"/>
    <n v="217"/>
    <x v="1"/>
    <n v="18"/>
    <n v="4"/>
    <s v="Life Sciences"/>
    <n v="1"/>
    <n v="1133"/>
    <n v="1"/>
    <s v="Male"/>
    <n v="78"/>
    <n v="3"/>
    <n v="2"/>
    <x v="3"/>
    <n v="4"/>
    <s v="Single"/>
    <n v="7779"/>
    <n v="23238"/>
    <n v="2"/>
    <s v="Y"/>
    <x v="1"/>
    <n v="20"/>
    <n v="4"/>
    <n v="1"/>
    <n v="80"/>
    <n v="0"/>
    <n v="18"/>
    <n v="0"/>
    <n v="3"/>
    <n v="11"/>
    <n v="9"/>
    <n v="0"/>
    <n v="9"/>
    <x v="1"/>
    <x v="1"/>
    <x v="2"/>
  </r>
  <r>
    <n v="31"/>
    <x v="1"/>
    <s v="Travel_Frequently"/>
    <n v="793"/>
    <x v="0"/>
    <n v="20"/>
    <n v="3"/>
    <s v="Life Sciences"/>
    <n v="1"/>
    <n v="1135"/>
    <n v="3"/>
    <s v="Male"/>
    <n v="67"/>
    <n v="4"/>
    <n v="1"/>
    <x v="6"/>
    <n v="4"/>
    <s v="Married"/>
    <n v="2791"/>
    <n v="21981"/>
    <n v="0"/>
    <s v="Y"/>
    <x v="1"/>
    <n v="12"/>
    <n v="3"/>
    <n v="1"/>
    <n v="80"/>
    <n v="1"/>
    <n v="3"/>
    <n v="4"/>
    <n v="3"/>
    <n v="2"/>
    <n v="2"/>
    <n v="2"/>
    <n v="2"/>
    <x v="1"/>
    <x v="1"/>
    <x v="1"/>
  </r>
  <r>
    <n v="28"/>
    <x v="1"/>
    <s v="Travel_Rarely"/>
    <n v="1451"/>
    <x v="1"/>
    <n v="2"/>
    <n v="1"/>
    <s v="Life Sciences"/>
    <n v="1"/>
    <n v="1136"/>
    <n v="1"/>
    <s v="Male"/>
    <n v="67"/>
    <n v="2"/>
    <n v="1"/>
    <x v="1"/>
    <n v="2"/>
    <s v="Married"/>
    <n v="3201"/>
    <n v="19911"/>
    <n v="0"/>
    <s v="Y"/>
    <x v="1"/>
    <n v="17"/>
    <n v="3"/>
    <n v="1"/>
    <n v="80"/>
    <n v="0"/>
    <n v="6"/>
    <n v="2"/>
    <n v="1"/>
    <n v="5"/>
    <n v="3"/>
    <n v="0"/>
    <n v="4"/>
    <x v="1"/>
    <x v="2"/>
    <x v="0"/>
  </r>
  <r>
    <n v="35"/>
    <x v="1"/>
    <s v="Travel_Frequently"/>
    <n v="1182"/>
    <x v="0"/>
    <n v="11"/>
    <n v="2"/>
    <s v="Marketing"/>
    <n v="1"/>
    <n v="1137"/>
    <n v="4"/>
    <s v="Male"/>
    <n v="54"/>
    <n v="3"/>
    <n v="2"/>
    <x v="0"/>
    <n v="4"/>
    <s v="Divorced"/>
    <n v="4968"/>
    <n v="18500"/>
    <n v="1"/>
    <s v="Y"/>
    <x v="1"/>
    <n v="11"/>
    <n v="3"/>
    <n v="4"/>
    <n v="80"/>
    <n v="1"/>
    <n v="5"/>
    <n v="3"/>
    <n v="3"/>
    <n v="5"/>
    <n v="2"/>
    <n v="0"/>
    <n v="2"/>
    <x v="1"/>
    <x v="1"/>
    <x v="0"/>
  </r>
  <r>
    <n v="49"/>
    <x v="1"/>
    <s v="Travel_Rarely"/>
    <n v="174"/>
    <x v="0"/>
    <n v="8"/>
    <n v="4"/>
    <s v="Technical Degree"/>
    <n v="1"/>
    <n v="1138"/>
    <n v="4"/>
    <s v="Male"/>
    <n v="56"/>
    <n v="2"/>
    <n v="4"/>
    <x v="0"/>
    <n v="2"/>
    <s v="Married"/>
    <n v="13120"/>
    <n v="11879"/>
    <n v="6"/>
    <s v="Y"/>
    <x v="1"/>
    <n v="17"/>
    <n v="3"/>
    <n v="2"/>
    <n v="80"/>
    <n v="1"/>
    <n v="22"/>
    <n v="3"/>
    <n v="3"/>
    <n v="9"/>
    <n v="8"/>
    <n v="2"/>
    <n v="3"/>
    <x v="1"/>
    <x v="0"/>
    <x v="2"/>
  </r>
  <r>
    <n v="34"/>
    <x v="1"/>
    <s v="Travel_Frequently"/>
    <n v="1003"/>
    <x v="1"/>
    <n v="2"/>
    <n v="2"/>
    <s v="Life Sciences"/>
    <n v="1"/>
    <n v="1140"/>
    <n v="4"/>
    <s v="Male"/>
    <n v="95"/>
    <n v="3"/>
    <n v="2"/>
    <x v="3"/>
    <n v="3"/>
    <s v="Single"/>
    <n v="4033"/>
    <n v="15834"/>
    <n v="2"/>
    <s v="Y"/>
    <x v="1"/>
    <n v="11"/>
    <n v="3"/>
    <n v="4"/>
    <n v="80"/>
    <n v="0"/>
    <n v="5"/>
    <n v="3"/>
    <n v="2"/>
    <n v="3"/>
    <n v="2"/>
    <n v="0"/>
    <n v="2"/>
    <x v="1"/>
    <x v="1"/>
    <x v="0"/>
  </r>
  <r>
    <n v="29"/>
    <x v="1"/>
    <s v="Travel_Frequently"/>
    <n v="490"/>
    <x v="1"/>
    <n v="10"/>
    <n v="3"/>
    <s v="Life Sciences"/>
    <n v="1"/>
    <n v="1143"/>
    <n v="4"/>
    <s v="Female"/>
    <n v="61"/>
    <n v="3"/>
    <n v="1"/>
    <x v="1"/>
    <n v="2"/>
    <s v="Divorced"/>
    <n v="3291"/>
    <n v="17940"/>
    <n v="0"/>
    <s v="Y"/>
    <x v="1"/>
    <n v="14"/>
    <n v="3"/>
    <n v="4"/>
    <n v="80"/>
    <n v="2"/>
    <n v="8"/>
    <n v="2"/>
    <n v="2"/>
    <n v="7"/>
    <n v="5"/>
    <n v="1"/>
    <n v="1"/>
    <x v="1"/>
    <x v="2"/>
    <x v="0"/>
  </r>
  <r>
    <n v="42"/>
    <x v="1"/>
    <s v="Travel_Rarely"/>
    <n v="188"/>
    <x v="1"/>
    <n v="29"/>
    <n v="3"/>
    <s v="Medical"/>
    <n v="1"/>
    <n v="1148"/>
    <n v="2"/>
    <s v="Male"/>
    <n v="56"/>
    <n v="1"/>
    <n v="2"/>
    <x v="2"/>
    <n v="4"/>
    <s v="Single"/>
    <n v="4272"/>
    <n v="9558"/>
    <n v="4"/>
    <s v="Y"/>
    <x v="1"/>
    <n v="19"/>
    <n v="3"/>
    <n v="1"/>
    <n v="80"/>
    <n v="0"/>
    <n v="16"/>
    <n v="3"/>
    <n v="3"/>
    <n v="1"/>
    <n v="0"/>
    <n v="0"/>
    <n v="0"/>
    <x v="1"/>
    <x v="0"/>
    <x v="0"/>
  </r>
  <r>
    <n v="29"/>
    <x v="1"/>
    <s v="Travel_Rarely"/>
    <n v="718"/>
    <x v="1"/>
    <n v="8"/>
    <n v="1"/>
    <s v="Medical"/>
    <n v="1"/>
    <n v="1150"/>
    <n v="2"/>
    <s v="Male"/>
    <n v="79"/>
    <n v="2"/>
    <n v="2"/>
    <x v="3"/>
    <n v="4"/>
    <s v="Married"/>
    <n v="5056"/>
    <n v="17689"/>
    <n v="1"/>
    <s v="Y"/>
    <x v="0"/>
    <n v="15"/>
    <n v="3"/>
    <n v="3"/>
    <n v="80"/>
    <n v="1"/>
    <n v="10"/>
    <n v="2"/>
    <n v="2"/>
    <n v="10"/>
    <n v="7"/>
    <n v="1"/>
    <n v="2"/>
    <x v="1"/>
    <x v="2"/>
    <x v="0"/>
  </r>
  <r>
    <n v="38"/>
    <x v="1"/>
    <s v="Travel_Rarely"/>
    <n v="433"/>
    <x v="2"/>
    <n v="1"/>
    <n v="3"/>
    <s v="Human Resources"/>
    <n v="1"/>
    <n v="1152"/>
    <n v="3"/>
    <s v="Male"/>
    <n v="37"/>
    <n v="4"/>
    <n v="1"/>
    <x v="8"/>
    <n v="3"/>
    <s v="Married"/>
    <n v="2844"/>
    <n v="6004"/>
    <n v="1"/>
    <s v="Y"/>
    <x v="1"/>
    <n v="13"/>
    <n v="3"/>
    <n v="4"/>
    <n v="80"/>
    <n v="1"/>
    <n v="7"/>
    <n v="2"/>
    <n v="4"/>
    <n v="7"/>
    <n v="6"/>
    <n v="5"/>
    <n v="0"/>
    <x v="1"/>
    <x v="1"/>
    <x v="1"/>
  </r>
  <r>
    <n v="28"/>
    <x v="1"/>
    <s v="Travel_Frequently"/>
    <n v="773"/>
    <x v="1"/>
    <n v="6"/>
    <n v="3"/>
    <s v="Life Sciences"/>
    <n v="1"/>
    <n v="1154"/>
    <n v="3"/>
    <s v="Male"/>
    <n v="39"/>
    <n v="2"/>
    <n v="1"/>
    <x v="1"/>
    <n v="3"/>
    <s v="Divorced"/>
    <n v="2703"/>
    <n v="22088"/>
    <n v="1"/>
    <s v="Y"/>
    <x v="0"/>
    <n v="14"/>
    <n v="3"/>
    <n v="4"/>
    <n v="80"/>
    <n v="1"/>
    <n v="3"/>
    <n v="2"/>
    <n v="3"/>
    <n v="3"/>
    <n v="1"/>
    <n v="0"/>
    <n v="2"/>
    <x v="1"/>
    <x v="2"/>
    <x v="1"/>
  </r>
  <r>
    <n v="18"/>
    <x v="0"/>
    <s v="Non-Travel"/>
    <n v="247"/>
    <x v="1"/>
    <n v="8"/>
    <n v="1"/>
    <s v="Medical"/>
    <n v="1"/>
    <n v="1156"/>
    <n v="3"/>
    <s v="Male"/>
    <n v="80"/>
    <n v="3"/>
    <n v="1"/>
    <x v="2"/>
    <n v="3"/>
    <s v="Single"/>
    <n v="1904"/>
    <n v="13556"/>
    <n v="1"/>
    <s v="Y"/>
    <x v="1"/>
    <n v="12"/>
    <n v="3"/>
    <n v="4"/>
    <n v="80"/>
    <n v="0"/>
    <n v="0"/>
    <n v="0"/>
    <n v="3"/>
    <n v="0"/>
    <n v="0"/>
    <n v="0"/>
    <n v="0"/>
    <x v="0"/>
    <x v="2"/>
    <x v="1"/>
  </r>
  <r>
    <n v="33"/>
    <x v="0"/>
    <s v="Travel_Rarely"/>
    <n v="603"/>
    <x v="0"/>
    <n v="9"/>
    <n v="4"/>
    <s v="Marketing"/>
    <n v="1"/>
    <n v="1157"/>
    <n v="1"/>
    <s v="Female"/>
    <n v="77"/>
    <n v="3"/>
    <n v="2"/>
    <x v="0"/>
    <n v="1"/>
    <s v="Single"/>
    <n v="8224"/>
    <n v="18385"/>
    <n v="0"/>
    <s v="Y"/>
    <x v="0"/>
    <n v="17"/>
    <n v="3"/>
    <n v="1"/>
    <n v="80"/>
    <n v="0"/>
    <n v="6"/>
    <n v="3"/>
    <n v="3"/>
    <n v="5"/>
    <n v="2"/>
    <n v="0"/>
    <n v="3"/>
    <x v="0"/>
    <x v="1"/>
    <x v="2"/>
  </r>
  <r>
    <n v="41"/>
    <x v="1"/>
    <s v="Travel_Rarely"/>
    <n v="167"/>
    <x v="1"/>
    <n v="12"/>
    <n v="4"/>
    <s v="Life Sciences"/>
    <n v="1"/>
    <n v="1158"/>
    <n v="2"/>
    <s v="Male"/>
    <n v="46"/>
    <n v="3"/>
    <n v="1"/>
    <x v="2"/>
    <n v="4"/>
    <s v="Married"/>
    <n v="4766"/>
    <n v="9051"/>
    <n v="3"/>
    <s v="Y"/>
    <x v="0"/>
    <n v="11"/>
    <n v="3"/>
    <n v="1"/>
    <n v="80"/>
    <n v="1"/>
    <n v="6"/>
    <n v="4"/>
    <n v="3"/>
    <n v="1"/>
    <n v="0"/>
    <n v="0"/>
    <n v="0"/>
    <x v="1"/>
    <x v="0"/>
    <x v="0"/>
  </r>
  <r>
    <n v="31"/>
    <x v="0"/>
    <s v="Travel_Frequently"/>
    <n v="874"/>
    <x v="1"/>
    <n v="15"/>
    <n v="3"/>
    <s v="Medical"/>
    <n v="1"/>
    <n v="1160"/>
    <n v="3"/>
    <s v="Male"/>
    <n v="72"/>
    <n v="3"/>
    <n v="1"/>
    <x v="2"/>
    <n v="3"/>
    <s v="Married"/>
    <n v="2610"/>
    <n v="6233"/>
    <n v="1"/>
    <s v="Y"/>
    <x v="1"/>
    <n v="12"/>
    <n v="3"/>
    <n v="3"/>
    <n v="80"/>
    <n v="1"/>
    <n v="2"/>
    <n v="5"/>
    <n v="2"/>
    <n v="2"/>
    <n v="2"/>
    <n v="2"/>
    <n v="2"/>
    <x v="0"/>
    <x v="1"/>
    <x v="1"/>
  </r>
  <r>
    <n v="37"/>
    <x v="1"/>
    <s v="Travel_Rarely"/>
    <n v="367"/>
    <x v="1"/>
    <n v="25"/>
    <n v="2"/>
    <s v="Medical"/>
    <n v="1"/>
    <n v="1161"/>
    <n v="3"/>
    <s v="Female"/>
    <n v="52"/>
    <n v="2"/>
    <n v="2"/>
    <x v="4"/>
    <n v="4"/>
    <s v="Divorced"/>
    <n v="5731"/>
    <n v="17171"/>
    <n v="7"/>
    <s v="Y"/>
    <x v="1"/>
    <n v="13"/>
    <n v="3"/>
    <n v="3"/>
    <n v="80"/>
    <n v="2"/>
    <n v="9"/>
    <n v="2"/>
    <n v="3"/>
    <n v="6"/>
    <n v="2"/>
    <n v="1"/>
    <n v="3"/>
    <x v="1"/>
    <x v="1"/>
    <x v="0"/>
  </r>
  <r>
    <n v="27"/>
    <x v="1"/>
    <s v="Travel_Rarely"/>
    <n v="199"/>
    <x v="1"/>
    <n v="6"/>
    <n v="3"/>
    <s v="Life Sciences"/>
    <n v="1"/>
    <n v="1162"/>
    <n v="4"/>
    <s v="Male"/>
    <n v="55"/>
    <n v="2"/>
    <n v="1"/>
    <x v="1"/>
    <n v="3"/>
    <s v="Married"/>
    <n v="2539"/>
    <n v="7950"/>
    <n v="1"/>
    <s v="Y"/>
    <x v="1"/>
    <n v="13"/>
    <n v="3"/>
    <n v="3"/>
    <n v="80"/>
    <n v="1"/>
    <n v="4"/>
    <n v="0"/>
    <n v="3"/>
    <n v="4"/>
    <n v="2"/>
    <n v="2"/>
    <n v="2"/>
    <x v="1"/>
    <x v="2"/>
    <x v="1"/>
  </r>
  <r>
    <n v="34"/>
    <x v="1"/>
    <s v="Travel_Rarely"/>
    <n v="1400"/>
    <x v="0"/>
    <n v="9"/>
    <n v="1"/>
    <s v="Life Sciences"/>
    <n v="1"/>
    <n v="1163"/>
    <n v="2"/>
    <s v="Female"/>
    <n v="70"/>
    <n v="3"/>
    <n v="2"/>
    <x v="0"/>
    <n v="3"/>
    <s v="Married"/>
    <n v="5714"/>
    <n v="5829"/>
    <n v="1"/>
    <s v="Y"/>
    <x v="1"/>
    <n v="20"/>
    <n v="4"/>
    <n v="1"/>
    <n v="80"/>
    <n v="0"/>
    <n v="6"/>
    <n v="3"/>
    <n v="2"/>
    <n v="6"/>
    <n v="5"/>
    <n v="1"/>
    <n v="3"/>
    <x v="1"/>
    <x v="1"/>
    <x v="0"/>
  </r>
  <r>
    <n v="35"/>
    <x v="1"/>
    <s v="Travel_Rarely"/>
    <n v="528"/>
    <x v="2"/>
    <n v="8"/>
    <n v="4"/>
    <s v="Technical Degree"/>
    <n v="1"/>
    <n v="1164"/>
    <n v="3"/>
    <s v="Male"/>
    <n v="100"/>
    <n v="3"/>
    <n v="1"/>
    <x v="8"/>
    <n v="3"/>
    <s v="Single"/>
    <n v="4323"/>
    <n v="7108"/>
    <n v="1"/>
    <s v="Y"/>
    <x v="1"/>
    <n v="17"/>
    <n v="3"/>
    <n v="2"/>
    <n v="80"/>
    <n v="0"/>
    <n v="6"/>
    <n v="2"/>
    <n v="1"/>
    <n v="5"/>
    <n v="4"/>
    <n v="1"/>
    <n v="4"/>
    <x v="1"/>
    <x v="1"/>
    <x v="0"/>
  </r>
  <r>
    <n v="29"/>
    <x v="0"/>
    <s v="Travel_Rarely"/>
    <n v="408"/>
    <x v="0"/>
    <n v="23"/>
    <n v="1"/>
    <s v="Life Sciences"/>
    <n v="1"/>
    <n v="1165"/>
    <n v="4"/>
    <s v="Female"/>
    <n v="45"/>
    <n v="2"/>
    <n v="3"/>
    <x v="0"/>
    <n v="1"/>
    <s v="Married"/>
    <n v="7336"/>
    <n v="11162"/>
    <n v="1"/>
    <s v="Y"/>
    <x v="1"/>
    <n v="13"/>
    <n v="3"/>
    <n v="1"/>
    <n v="80"/>
    <n v="1"/>
    <n v="11"/>
    <n v="3"/>
    <n v="1"/>
    <n v="11"/>
    <n v="8"/>
    <n v="3"/>
    <n v="10"/>
    <x v="0"/>
    <x v="2"/>
    <x v="2"/>
  </r>
  <r>
    <n v="40"/>
    <x v="1"/>
    <s v="Travel_Frequently"/>
    <n v="593"/>
    <x v="1"/>
    <n v="9"/>
    <n v="4"/>
    <s v="Medical"/>
    <n v="1"/>
    <n v="1166"/>
    <n v="2"/>
    <s v="Female"/>
    <n v="88"/>
    <n v="3"/>
    <n v="3"/>
    <x v="7"/>
    <n v="3"/>
    <s v="Single"/>
    <n v="13499"/>
    <n v="13782"/>
    <n v="9"/>
    <s v="Y"/>
    <x v="1"/>
    <n v="17"/>
    <n v="3"/>
    <n v="3"/>
    <n v="80"/>
    <n v="0"/>
    <n v="20"/>
    <n v="3"/>
    <n v="2"/>
    <n v="18"/>
    <n v="7"/>
    <n v="2"/>
    <n v="13"/>
    <x v="1"/>
    <x v="0"/>
    <x v="2"/>
  </r>
  <r>
    <n v="42"/>
    <x v="0"/>
    <s v="Travel_Frequently"/>
    <n v="481"/>
    <x v="0"/>
    <n v="12"/>
    <n v="3"/>
    <s v="Life Sciences"/>
    <n v="1"/>
    <n v="1167"/>
    <n v="3"/>
    <s v="Male"/>
    <n v="44"/>
    <n v="3"/>
    <n v="4"/>
    <x v="0"/>
    <n v="1"/>
    <s v="Single"/>
    <n v="13758"/>
    <n v="2447"/>
    <n v="0"/>
    <s v="Y"/>
    <x v="0"/>
    <n v="12"/>
    <n v="3"/>
    <n v="2"/>
    <n v="80"/>
    <n v="0"/>
    <n v="22"/>
    <n v="2"/>
    <n v="2"/>
    <n v="21"/>
    <n v="9"/>
    <n v="13"/>
    <n v="14"/>
    <x v="0"/>
    <x v="0"/>
    <x v="2"/>
  </r>
  <r>
    <n v="42"/>
    <x v="1"/>
    <s v="Travel_Rarely"/>
    <n v="647"/>
    <x v="0"/>
    <n v="4"/>
    <n v="4"/>
    <s v="Marketing"/>
    <n v="1"/>
    <n v="1171"/>
    <n v="2"/>
    <s v="Male"/>
    <n v="45"/>
    <n v="3"/>
    <n v="2"/>
    <x v="0"/>
    <n v="1"/>
    <s v="Single"/>
    <n v="5155"/>
    <n v="2253"/>
    <n v="7"/>
    <s v="Y"/>
    <x v="1"/>
    <n v="13"/>
    <n v="3"/>
    <n v="4"/>
    <n v="80"/>
    <n v="0"/>
    <n v="9"/>
    <n v="3"/>
    <n v="4"/>
    <n v="6"/>
    <n v="4"/>
    <n v="1"/>
    <n v="5"/>
    <x v="1"/>
    <x v="0"/>
    <x v="0"/>
  </r>
  <r>
    <n v="35"/>
    <x v="1"/>
    <s v="Travel_Rarely"/>
    <n v="982"/>
    <x v="1"/>
    <n v="1"/>
    <n v="4"/>
    <s v="Medical"/>
    <n v="1"/>
    <n v="1172"/>
    <n v="4"/>
    <s v="Male"/>
    <n v="58"/>
    <n v="2"/>
    <n v="1"/>
    <x v="2"/>
    <n v="3"/>
    <s v="Married"/>
    <n v="2258"/>
    <n v="16340"/>
    <n v="6"/>
    <s v="Y"/>
    <x v="1"/>
    <n v="12"/>
    <n v="3"/>
    <n v="2"/>
    <n v="80"/>
    <n v="1"/>
    <n v="10"/>
    <n v="2"/>
    <n v="3"/>
    <n v="8"/>
    <n v="0"/>
    <n v="1"/>
    <n v="7"/>
    <x v="1"/>
    <x v="1"/>
    <x v="1"/>
  </r>
  <r>
    <n v="24"/>
    <x v="1"/>
    <s v="Travel_Rarely"/>
    <n v="477"/>
    <x v="1"/>
    <n v="24"/>
    <n v="3"/>
    <s v="Medical"/>
    <n v="1"/>
    <n v="1173"/>
    <n v="4"/>
    <s v="Male"/>
    <n v="49"/>
    <n v="3"/>
    <n v="1"/>
    <x v="2"/>
    <n v="2"/>
    <s v="Single"/>
    <n v="3597"/>
    <n v="6409"/>
    <n v="8"/>
    <s v="Y"/>
    <x v="1"/>
    <n v="22"/>
    <n v="4"/>
    <n v="4"/>
    <n v="80"/>
    <n v="0"/>
    <n v="6"/>
    <n v="2"/>
    <n v="3"/>
    <n v="4"/>
    <n v="3"/>
    <n v="1"/>
    <n v="2"/>
    <x v="1"/>
    <x v="2"/>
    <x v="0"/>
  </r>
  <r>
    <n v="28"/>
    <x v="0"/>
    <s v="Travel_Rarely"/>
    <n v="1485"/>
    <x v="1"/>
    <n v="12"/>
    <n v="1"/>
    <s v="Life Sciences"/>
    <n v="1"/>
    <n v="1175"/>
    <n v="3"/>
    <s v="Female"/>
    <n v="79"/>
    <n v="3"/>
    <n v="1"/>
    <x v="2"/>
    <n v="4"/>
    <s v="Married"/>
    <n v="2515"/>
    <n v="22955"/>
    <n v="1"/>
    <s v="Y"/>
    <x v="0"/>
    <n v="11"/>
    <n v="3"/>
    <n v="4"/>
    <n v="80"/>
    <n v="0"/>
    <n v="1"/>
    <n v="4"/>
    <n v="2"/>
    <n v="1"/>
    <n v="1"/>
    <n v="0"/>
    <n v="0"/>
    <x v="0"/>
    <x v="2"/>
    <x v="1"/>
  </r>
  <r>
    <n v="26"/>
    <x v="1"/>
    <s v="Travel_Rarely"/>
    <n v="1384"/>
    <x v="1"/>
    <n v="3"/>
    <n v="4"/>
    <s v="Medical"/>
    <n v="1"/>
    <n v="1177"/>
    <n v="1"/>
    <s v="Male"/>
    <n v="82"/>
    <n v="4"/>
    <n v="1"/>
    <x v="2"/>
    <n v="4"/>
    <s v="Married"/>
    <n v="4420"/>
    <n v="13421"/>
    <n v="1"/>
    <s v="Y"/>
    <x v="1"/>
    <n v="22"/>
    <n v="4"/>
    <n v="2"/>
    <n v="80"/>
    <n v="1"/>
    <n v="8"/>
    <n v="2"/>
    <n v="3"/>
    <n v="8"/>
    <n v="7"/>
    <n v="0"/>
    <n v="7"/>
    <x v="1"/>
    <x v="2"/>
    <x v="0"/>
  </r>
  <r>
    <n v="30"/>
    <x v="1"/>
    <s v="Travel_Rarely"/>
    <n v="852"/>
    <x v="0"/>
    <n v="10"/>
    <n v="3"/>
    <s v="Marketing"/>
    <n v="1"/>
    <n v="1179"/>
    <n v="3"/>
    <s v="Male"/>
    <n v="72"/>
    <n v="2"/>
    <n v="2"/>
    <x v="0"/>
    <n v="3"/>
    <s v="Married"/>
    <n v="6578"/>
    <n v="2706"/>
    <n v="1"/>
    <s v="Y"/>
    <x v="1"/>
    <n v="18"/>
    <n v="3"/>
    <n v="1"/>
    <n v="80"/>
    <n v="1"/>
    <n v="10"/>
    <n v="3"/>
    <n v="3"/>
    <n v="10"/>
    <n v="3"/>
    <n v="1"/>
    <n v="4"/>
    <x v="1"/>
    <x v="1"/>
    <x v="0"/>
  </r>
  <r>
    <n v="40"/>
    <x v="1"/>
    <s v="Travel_Frequently"/>
    <n v="902"/>
    <x v="1"/>
    <n v="26"/>
    <n v="2"/>
    <s v="Medical"/>
    <n v="1"/>
    <n v="1180"/>
    <n v="3"/>
    <s v="Female"/>
    <n v="92"/>
    <n v="2"/>
    <n v="2"/>
    <x v="1"/>
    <n v="4"/>
    <s v="Married"/>
    <n v="4422"/>
    <n v="21203"/>
    <n v="3"/>
    <s v="Y"/>
    <x v="0"/>
    <n v="13"/>
    <n v="3"/>
    <n v="4"/>
    <n v="80"/>
    <n v="1"/>
    <n v="16"/>
    <n v="3"/>
    <n v="1"/>
    <n v="1"/>
    <n v="1"/>
    <n v="0"/>
    <n v="0"/>
    <x v="1"/>
    <x v="0"/>
    <x v="0"/>
  </r>
  <r>
    <n v="35"/>
    <x v="1"/>
    <s v="Travel_Rarely"/>
    <n v="819"/>
    <x v="1"/>
    <n v="2"/>
    <n v="3"/>
    <s v="Life Sciences"/>
    <n v="1"/>
    <n v="1182"/>
    <n v="3"/>
    <s v="Male"/>
    <n v="44"/>
    <n v="2"/>
    <n v="3"/>
    <x v="3"/>
    <n v="2"/>
    <s v="Divorced"/>
    <n v="10274"/>
    <n v="19588"/>
    <n v="2"/>
    <s v="Y"/>
    <x v="1"/>
    <n v="18"/>
    <n v="3"/>
    <n v="2"/>
    <n v="80"/>
    <n v="1"/>
    <n v="15"/>
    <n v="2"/>
    <n v="4"/>
    <n v="7"/>
    <n v="7"/>
    <n v="6"/>
    <n v="4"/>
    <x v="1"/>
    <x v="1"/>
    <x v="2"/>
  </r>
  <r>
    <n v="34"/>
    <x v="1"/>
    <s v="Travel_Frequently"/>
    <n v="669"/>
    <x v="1"/>
    <n v="1"/>
    <n v="3"/>
    <s v="Medical"/>
    <n v="1"/>
    <n v="1184"/>
    <n v="4"/>
    <s v="Male"/>
    <n v="97"/>
    <n v="2"/>
    <n v="2"/>
    <x v="4"/>
    <n v="1"/>
    <s v="Single"/>
    <n v="5343"/>
    <n v="25755"/>
    <n v="0"/>
    <s v="Y"/>
    <x v="1"/>
    <n v="20"/>
    <n v="4"/>
    <n v="3"/>
    <n v="80"/>
    <n v="0"/>
    <n v="14"/>
    <n v="3"/>
    <n v="3"/>
    <n v="13"/>
    <n v="9"/>
    <n v="4"/>
    <n v="9"/>
    <x v="1"/>
    <x v="1"/>
    <x v="0"/>
  </r>
  <r>
    <n v="35"/>
    <x v="1"/>
    <s v="Travel_Frequently"/>
    <n v="636"/>
    <x v="1"/>
    <n v="4"/>
    <n v="4"/>
    <s v="Other"/>
    <n v="1"/>
    <n v="1185"/>
    <n v="4"/>
    <s v="Male"/>
    <n v="47"/>
    <n v="2"/>
    <n v="1"/>
    <x v="2"/>
    <n v="4"/>
    <s v="Married"/>
    <n v="2376"/>
    <n v="26537"/>
    <n v="1"/>
    <s v="Y"/>
    <x v="1"/>
    <n v="13"/>
    <n v="3"/>
    <n v="2"/>
    <n v="80"/>
    <n v="1"/>
    <n v="2"/>
    <n v="2"/>
    <n v="4"/>
    <n v="2"/>
    <n v="2"/>
    <n v="2"/>
    <n v="2"/>
    <x v="1"/>
    <x v="1"/>
    <x v="1"/>
  </r>
  <r>
    <n v="43"/>
    <x v="0"/>
    <s v="Travel_Rarely"/>
    <n v="1372"/>
    <x v="0"/>
    <n v="9"/>
    <n v="3"/>
    <s v="Marketing"/>
    <n v="1"/>
    <n v="1188"/>
    <n v="1"/>
    <s v="Female"/>
    <n v="85"/>
    <n v="1"/>
    <n v="2"/>
    <x v="0"/>
    <n v="3"/>
    <s v="Single"/>
    <n v="5346"/>
    <n v="9489"/>
    <n v="8"/>
    <s v="Y"/>
    <x v="1"/>
    <n v="13"/>
    <n v="3"/>
    <n v="2"/>
    <n v="80"/>
    <n v="0"/>
    <n v="7"/>
    <n v="2"/>
    <n v="2"/>
    <n v="4"/>
    <n v="3"/>
    <n v="1"/>
    <n v="3"/>
    <x v="0"/>
    <x v="0"/>
    <x v="0"/>
  </r>
  <r>
    <n v="32"/>
    <x v="1"/>
    <s v="Non-Travel"/>
    <n v="862"/>
    <x v="0"/>
    <n v="2"/>
    <n v="1"/>
    <s v="Life Sciences"/>
    <n v="1"/>
    <n v="1190"/>
    <n v="3"/>
    <s v="Female"/>
    <n v="76"/>
    <n v="3"/>
    <n v="1"/>
    <x v="6"/>
    <n v="1"/>
    <s v="Divorced"/>
    <n v="2827"/>
    <n v="14947"/>
    <n v="1"/>
    <s v="Y"/>
    <x v="1"/>
    <n v="12"/>
    <n v="3"/>
    <n v="3"/>
    <n v="80"/>
    <n v="3"/>
    <n v="1"/>
    <n v="3"/>
    <n v="3"/>
    <n v="1"/>
    <n v="0"/>
    <n v="0"/>
    <n v="0"/>
    <x v="1"/>
    <x v="1"/>
    <x v="1"/>
  </r>
  <r>
    <n v="56"/>
    <x v="1"/>
    <s v="Travel_Rarely"/>
    <n v="718"/>
    <x v="1"/>
    <n v="4"/>
    <n v="4"/>
    <s v="Technical Degree"/>
    <n v="1"/>
    <n v="1191"/>
    <n v="4"/>
    <s v="Female"/>
    <n v="92"/>
    <n v="3"/>
    <n v="5"/>
    <x v="5"/>
    <n v="1"/>
    <s v="Divorced"/>
    <n v="19943"/>
    <n v="18575"/>
    <n v="4"/>
    <s v="Y"/>
    <x v="1"/>
    <n v="13"/>
    <n v="3"/>
    <n v="4"/>
    <n v="80"/>
    <n v="1"/>
    <n v="28"/>
    <n v="2"/>
    <n v="3"/>
    <n v="5"/>
    <n v="2"/>
    <n v="4"/>
    <n v="2"/>
    <x v="1"/>
    <x v="3"/>
    <x v="2"/>
  </r>
  <r>
    <n v="29"/>
    <x v="1"/>
    <s v="Travel_Rarely"/>
    <n v="1401"/>
    <x v="1"/>
    <n v="6"/>
    <n v="1"/>
    <s v="Medical"/>
    <n v="1"/>
    <n v="1192"/>
    <n v="2"/>
    <s v="Female"/>
    <n v="54"/>
    <n v="3"/>
    <n v="1"/>
    <x v="2"/>
    <n v="4"/>
    <s v="Married"/>
    <n v="3131"/>
    <n v="26342"/>
    <n v="1"/>
    <s v="Y"/>
    <x v="1"/>
    <n v="13"/>
    <n v="3"/>
    <n v="1"/>
    <n v="80"/>
    <n v="1"/>
    <n v="10"/>
    <n v="5"/>
    <n v="3"/>
    <n v="10"/>
    <n v="8"/>
    <n v="0"/>
    <n v="8"/>
    <x v="1"/>
    <x v="2"/>
    <x v="0"/>
  </r>
  <r>
    <n v="19"/>
    <x v="1"/>
    <s v="Travel_Rarely"/>
    <n v="645"/>
    <x v="1"/>
    <n v="9"/>
    <n v="2"/>
    <s v="Life Sciences"/>
    <n v="1"/>
    <n v="1193"/>
    <n v="3"/>
    <s v="Male"/>
    <n v="54"/>
    <n v="3"/>
    <n v="1"/>
    <x v="1"/>
    <n v="1"/>
    <s v="Single"/>
    <n v="2552"/>
    <n v="7172"/>
    <n v="1"/>
    <s v="Y"/>
    <x v="1"/>
    <n v="25"/>
    <n v="4"/>
    <n v="3"/>
    <n v="80"/>
    <n v="0"/>
    <n v="1"/>
    <n v="4"/>
    <n v="3"/>
    <n v="1"/>
    <n v="1"/>
    <n v="0"/>
    <n v="0"/>
    <x v="1"/>
    <x v="2"/>
    <x v="1"/>
  </r>
  <r>
    <n v="45"/>
    <x v="1"/>
    <s v="Travel_Rarely"/>
    <n v="1457"/>
    <x v="1"/>
    <n v="7"/>
    <n v="3"/>
    <s v="Medical"/>
    <n v="1"/>
    <n v="1195"/>
    <n v="1"/>
    <s v="Female"/>
    <n v="83"/>
    <n v="3"/>
    <n v="1"/>
    <x v="1"/>
    <n v="3"/>
    <s v="Married"/>
    <n v="4477"/>
    <n v="20100"/>
    <n v="4"/>
    <s v="Y"/>
    <x v="0"/>
    <n v="19"/>
    <n v="3"/>
    <n v="3"/>
    <n v="80"/>
    <n v="1"/>
    <n v="7"/>
    <n v="2"/>
    <n v="2"/>
    <n v="3"/>
    <n v="2"/>
    <n v="0"/>
    <n v="2"/>
    <x v="1"/>
    <x v="0"/>
    <x v="0"/>
  </r>
  <r>
    <n v="37"/>
    <x v="1"/>
    <s v="Travel_Rarely"/>
    <n v="977"/>
    <x v="1"/>
    <n v="1"/>
    <n v="3"/>
    <s v="Life Sciences"/>
    <n v="1"/>
    <n v="1196"/>
    <n v="4"/>
    <s v="Female"/>
    <n v="56"/>
    <n v="2"/>
    <n v="2"/>
    <x v="3"/>
    <n v="4"/>
    <s v="Married"/>
    <n v="6474"/>
    <n v="9961"/>
    <n v="1"/>
    <s v="Y"/>
    <x v="1"/>
    <n v="13"/>
    <n v="3"/>
    <n v="2"/>
    <n v="80"/>
    <n v="1"/>
    <n v="14"/>
    <n v="2"/>
    <n v="2"/>
    <n v="14"/>
    <n v="8"/>
    <n v="3"/>
    <n v="11"/>
    <x v="1"/>
    <x v="1"/>
    <x v="0"/>
  </r>
  <r>
    <n v="20"/>
    <x v="1"/>
    <s v="Travel_Rarely"/>
    <n v="805"/>
    <x v="1"/>
    <n v="3"/>
    <n v="3"/>
    <s v="Life Sciences"/>
    <n v="1"/>
    <n v="1198"/>
    <n v="1"/>
    <s v="Male"/>
    <n v="87"/>
    <n v="2"/>
    <n v="1"/>
    <x v="2"/>
    <n v="3"/>
    <s v="Single"/>
    <n v="3033"/>
    <n v="12828"/>
    <n v="1"/>
    <s v="Y"/>
    <x v="1"/>
    <n v="12"/>
    <n v="3"/>
    <n v="1"/>
    <n v="80"/>
    <n v="0"/>
    <n v="2"/>
    <n v="2"/>
    <n v="2"/>
    <n v="2"/>
    <n v="2"/>
    <n v="1"/>
    <n v="2"/>
    <x v="1"/>
    <x v="2"/>
    <x v="0"/>
  </r>
  <r>
    <n v="44"/>
    <x v="0"/>
    <s v="Travel_Rarely"/>
    <n v="1097"/>
    <x v="1"/>
    <n v="10"/>
    <n v="4"/>
    <s v="Life Sciences"/>
    <n v="1"/>
    <n v="1200"/>
    <n v="3"/>
    <s v="Male"/>
    <n v="96"/>
    <n v="3"/>
    <n v="1"/>
    <x v="1"/>
    <n v="3"/>
    <s v="Single"/>
    <n v="2936"/>
    <n v="10826"/>
    <n v="1"/>
    <s v="Y"/>
    <x v="0"/>
    <n v="11"/>
    <n v="3"/>
    <n v="3"/>
    <n v="80"/>
    <n v="0"/>
    <n v="6"/>
    <n v="4"/>
    <n v="3"/>
    <n v="6"/>
    <n v="4"/>
    <n v="0"/>
    <n v="2"/>
    <x v="0"/>
    <x v="0"/>
    <x v="1"/>
  </r>
  <r>
    <n v="53"/>
    <x v="1"/>
    <s v="Travel_Rarely"/>
    <n v="1223"/>
    <x v="1"/>
    <n v="7"/>
    <n v="2"/>
    <s v="Medical"/>
    <n v="1"/>
    <n v="1201"/>
    <n v="4"/>
    <s v="Female"/>
    <n v="50"/>
    <n v="3"/>
    <n v="5"/>
    <x v="5"/>
    <n v="3"/>
    <s v="Divorced"/>
    <n v="18606"/>
    <n v="18640"/>
    <n v="3"/>
    <s v="Y"/>
    <x v="1"/>
    <n v="18"/>
    <n v="3"/>
    <n v="2"/>
    <n v="80"/>
    <n v="1"/>
    <n v="26"/>
    <n v="6"/>
    <n v="3"/>
    <n v="7"/>
    <n v="7"/>
    <n v="4"/>
    <n v="7"/>
    <x v="1"/>
    <x v="3"/>
    <x v="2"/>
  </r>
  <r>
    <n v="29"/>
    <x v="1"/>
    <s v="Travel_Rarely"/>
    <n v="942"/>
    <x v="1"/>
    <n v="15"/>
    <n v="1"/>
    <s v="Life Sciences"/>
    <n v="1"/>
    <n v="1202"/>
    <n v="2"/>
    <s v="Female"/>
    <n v="69"/>
    <n v="1"/>
    <n v="1"/>
    <x v="1"/>
    <n v="4"/>
    <s v="Married"/>
    <n v="2168"/>
    <n v="26933"/>
    <n v="0"/>
    <s v="Y"/>
    <x v="0"/>
    <n v="18"/>
    <n v="3"/>
    <n v="1"/>
    <n v="80"/>
    <n v="1"/>
    <n v="6"/>
    <n v="2"/>
    <n v="2"/>
    <n v="5"/>
    <n v="4"/>
    <n v="1"/>
    <n v="3"/>
    <x v="1"/>
    <x v="2"/>
    <x v="1"/>
  </r>
  <r>
    <n v="22"/>
    <x v="0"/>
    <s v="Travel_Frequently"/>
    <n v="1256"/>
    <x v="1"/>
    <n v="3"/>
    <n v="4"/>
    <s v="Life Sciences"/>
    <n v="1"/>
    <n v="1203"/>
    <n v="3"/>
    <s v="Male"/>
    <n v="48"/>
    <n v="2"/>
    <n v="1"/>
    <x v="1"/>
    <n v="4"/>
    <s v="Married"/>
    <n v="2853"/>
    <n v="4223"/>
    <n v="0"/>
    <s v="Y"/>
    <x v="0"/>
    <n v="11"/>
    <n v="3"/>
    <n v="2"/>
    <n v="80"/>
    <n v="1"/>
    <n v="1"/>
    <n v="5"/>
    <n v="3"/>
    <n v="0"/>
    <n v="0"/>
    <n v="0"/>
    <n v="0"/>
    <x v="0"/>
    <x v="2"/>
    <x v="1"/>
  </r>
  <r>
    <n v="46"/>
    <x v="1"/>
    <s v="Travel_Rarely"/>
    <n v="1402"/>
    <x v="0"/>
    <n v="2"/>
    <n v="3"/>
    <s v="Marketing"/>
    <n v="1"/>
    <n v="1204"/>
    <n v="3"/>
    <s v="Female"/>
    <n v="69"/>
    <n v="3"/>
    <n v="4"/>
    <x v="5"/>
    <n v="1"/>
    <s v="Married"/>
    <n v="17048"/>
    <n v="24097"/>
    <n v="8"/>
    <s v="Y"/>
    <x v="1"/>
    <n v="23"/>
    <n v="4"/>
    <n v="1"/>
    <n v="80"/>
    <n v="0"/>
    <n v="28"/>
    <n v="2"/>
    <n v="3"/>
    <n v="26"/>
    <n v="15"/>
    <n v="15"/>
    <n v="9"/>
    <x v="1"/>
    <x v="0"/>
    <x v="2"/>
  </r>
  <r>
    <n v="44"/>
    <x v="1"/>
    <s v="Non-Travel"/>
    <n v="111"/>
    <x v="1"/>
    <n v="17"/>
    <n v="3"/>
    <s v="Life Sciences"/>
    <n v="1"/>
    <n v="1206"/>
    <n v="4"/>
    <s v="Male"/>
    <n v="74"/>
    <n v="1"/>
    <n v="1"/>
    <x v="1"/>
    <n v="3"/>
    <s v="Single"/>
    <n v="2290"/>
    <n v="4279"/>
    <n v="2"/>
    <s v="Y"/>
    <x v="1"/>
    <n v="13"/>
    <n v="3"/>
    <n v="4"/>
    <n v="80"/>
    <n v="0"/>
    <n v="6"/>
    <n v="3"/>
    <n v="3"/>
    <n v="0"/>
    <n v="0"/>
    <n v="0"/>
    <n v="0"/>
    <x v="1"/>
    <x v="0"/>
    <x v="1"/>
  </r>
  <r>
    <n v="33"/>
    <x v="1"/>
    <s v="Travel_Rarely"/>
    <n v="147"/>
    <x v="2"/>
    <n v="2"/>
    <n v="3"/>
    <s v="Human Resources"/>
    <n v="1"/>
    <n v="1207"/>
    <n v="2"/>
    <s v="Male"/>
    <n v="99"/>
    <n v="3"/>
    <n v="1"/>
    <x v="8"/>
    <n v="3"/>
    <s v="Married"/>
    <n v="3600"/>
    <n v="8429"/>
    <n v="1"/>
    <s v="Y"/>
    <x v="1"/>
    <n v="13"/>
    <n v="3"/>
    <n v="4"/>
    <n v="80"/>
    <n v="1"/>
    <n v="5"/>
    <n v="2"/>
    <n v="3"/>
    <n v="5"/>
    <n v="4"/>
    <n v="1"/>
    <n v="4"/>
    <x v="1"/>
    <x v="1"/>
    <x v="0"/>
  </r>
  <r>
    <n v="41"/>
    <x v="0"/>
    <s v="Non-Travel"/>
    <n v="906"/>
    <x v="1"/>
    <n v="5"/>
    <n v="2"/>
    <s v="Life Sciences"/>
    <n v="1"/>
    <n v="1210"/>
    <n v="1"/>
    <s v="Male"/>
    <n v="95"/>
    <n v="2"/>
    <n v="1"/>
    <x v="1"/>
    <n v="1"/>
    <s v="Divorced"/>
    <n v="2107"/>
    <n v="20293"/>
    <n v="6"/>
    <s v="Y"/>
    <x v="1"/>
    <n v="17"/>
    <n v="3"/>
    <n v="1"/>
    <n v="80"/>
    <n v="1"/>
    <n v="5"/>
    <n v="2"/>
    <n v="1"/>
    <n v="1"/>
    <n v="0"/>
    <n v="0"/>
    <n v="0"/>
    <x v="0"/>
    <x v="0"/>
    <x v="1"/>
  </r>
  <r>
    <n v="30"/>
    <x v="1"/>
    <s v="Travel_Rarely"/>
    <n v="1329"/>
    <x v="0"/>
    <n v="29"/>
    <n v="4"/>
    <s v="Life Sciences"/>
    <n v="1"/>
    <n v="1211"/>
    <n v="3"/>
    <s v="Male"/>
    <n v="61"/>
    <n v="3"/>
    <n v="2"/>
    <x v="0"/>
    <n v="1"/>
    <s v="Divorced"/>
    <n v="4115"/>
    <n v="13192"/>
    <n v="8"/>
    <s v="Y"/>
    <x v="1"/>
    <n v="19"/>
    <n v="3"/>
    <n v="3"/>
    <n v="80"/>
    <n v="3"/>
    <n v="8"/>
    <n v="3"/>
    <n v="3"/>
    <n v="4"/>
    <n v="3"/>
    <n v="0"/>
    <n v="3"/>
    <x v="1"/>
    <x v="1"/>
    <x v="0"/>
  </r>
  <r>
    <n v="40"/>
    <x v="1"/>
    <s v="Travel_Frequently"/>
    <n v="1184"/>
    <x v="0"/>
    <n v="2"/>
    <n v="4"/>
    <s v="Medical"/>
    <n v="1"/>
    <n v="1212"/>
    <n v="2"/>
    <s v="Male"/>
    <n v="62"/>
    <n v="3"/>
    <n v="2"/>
    <x v="0"/>
    <n v="2"/>
    <s v="Married"/>
    <n v="4327"/>
    <n v="25440"/>
    <n v="5"/>
    <s v="Y"/>
    <x v="1"/>
    <n v="12"/>
    <n v="3"/>
    <n v="4"/>
    <n v="80"/>
    <n v="3"/>
    <n v="5"/>
    <n v="2"/>
    <n v="3"/>
    <n v="0"/>
    <n v="0"/>
    <n v="0"/>
    <n v="0"/>
    <x v="1"/>
    <x v="0"/>
    <x v="0"/>
  </r>
  <r>
    <n v="50"/>
    <x v="1"/>
    <s v="Travel_Frequently"/>
    <n v="1421"/>
    <x v="1"/>
    <n v="2"/>
    <n v="3"/>
    <s v="Medical"/>
    <n v="1"/>
    <n v="1215"/>
    <n v="4"/>
    <s v="Female"/>
    <n v="30"/>
    <n v="3"/>
    <n v="4"/>
    <x v="5"/>
    <n v="1"/>
    <s v="Married"/>
    <n v="17856"/>
    <n v="9490"/>
    <n v="2"/>
    <s v="Y"/>
    <x v="1"/>
    <n v="22"/>
    <n v="4"/>
    <n v="3"/>
    <n v="80"/>
    <n v="1"/>
    <n v="32"/>
    <n v="3"/>
    <n v="3"/>
    <n v="2"/>
    <n v="2"/>
    <n v="2"/>
    <n v="2"/>
    <x v="1"/>
    <x v="3"/>
    <x v="2"/>
  </r>
  <r>
    <n v="28"/>
    <x v="1"/>
    <s v="Travel_Rarely"/>
    <n v="1179"/>
    <x v="1"/>
    <n v="19"/>
    <n v="4"/>
    <s v="Medical"/>
    <n v="1"/>
    <n v="1216"/>
    <n v="4"/>
    <s v="Male"/>
    <n v="78"/>
    <n v="2"/>
    <n v="1"/>
    <x v="2"/>
    <n v="1"/>
    <s v="Married"/>
    <n v="3196"/>
    <n v="12449"/>
    <n v="1"/>
    <s v="Y"/>
    <x v="1"/>
    <n v="12"/>
    <n v="3"/>
    <n v="3"/>
    <n v="80"/>
    <n v="3"/>
    <n v="6"/>
    <n v="2"/>
    <n v="3"/>
    <n v="6"/>
    <n v="5"/>
    <n v="3"/>
    <n v="3"/>
    <x v="1"/>
    <x v="2"/>
    <x v="0"/>
  </r>
  <r>
    <n v="46"/>
    <x v="1"/>
    <s v="Travel_Rarely"/>
    <n v="1450"/>
    <x v="1"/>
    <n v="15"/>
    <n v="2"/>
    <s v="Life Sciences"/>
    <n v="1"/>
    <n v="1217"/>
    <n v="4"/>
    <s v="Male"/>
    <n v="52"/>
    <n v="3"/>
    <n v="5"/>
    <x v="7"/>
    <n v="2"/>
    <s v="Married"/>
    <n v="19081"/>
    <n v="10849"/>
    <n v="5"/>
    <s v="Y"/>
    <x v="1"/>
    <n v="11"/>
    <n v="3"/>
    <n v="1"/>
    <n v="80"/>
    <n v="1"/>
    <n v="25"/>
    <n v="2"/>
    <n v="3"/>
    <n v="4"/>
    <n v="2"/>
    <n v="0"/>
    <n v="3"/>
    <x v="1"/>
    <x v="0"/>
    <x v="2"/>
  </r>
  <r>
    <n v="35"/>
    <x v="1"/>
    <s v="Travel_Rarely"/>
    <n v="1361"/>
    <x v="0"/>
    <n v="17"/>
    <n v="4"/>
    <s v="Life Sciences"/>
    <n v="1"/>
    <n v="1218"/>
    <n v="3"/>
    <s v="Male"/>
    <n v="94"/>
    <n v="3"/>
    <n v="2"/>
    <x v="0"/>
    <n v="1"/>
    <s v="Married"/>
    <n v="8966"/>
    <n v="21026"/>
    <n v="3"/>
    <s v="Y"/>
    <x v="0"/>
    <n v="15"/>
    <n v="3"/>
    <n v="4"/>
    <n v="80"/>
    <n v="3"/>
    <n v="15"/>
    <n v="2"/>
    <n v="3"/>
    <n v="7"/>
    <n v="7"/>
    <n v="1"/>
    <n v="7"/>
    <x v="1"/>
    <x v="1"/>
    <x v="2"/>
  </r>
  <r>
    <n v="24"/>
    <x v="0"/>
    <s v="Travel_Rarely"/>
    <n v="984"/>
    <x v="1"/>
    <n v="17"/>
    <n v="2"/>
    <s v="Life Sciences"/>
    <n v="1"/>
    <n v="1219"/>
    <n v="4"/>
    <s v="Female"/>
    <n v="97"/>
    <n v="3"/>
    <n v="1"/>
    <x v="2"/>
    <n v="2"/>
    <s v="Married"/>
    <n v="2210"/>
    <n v="3372"/>
    <n v="1"/>
    <s v="Y"/>
    <x v="1"/>
    <n v="13"/>
    <n v="3"/>
    <n v="1"/>
    <n v="80"/>
    <n v="1"/>
    <n v="1"/>
    <n v="3"/>
    <n v="1"/>
    <n v="1"/>
    <n v="0"/>
    <n v="0"/>
    <n v="0"/>
    <x v="0"/>
    <x v="2"/>
    <x v="1"/>
  </r>
  <r>
    <n v="33"/>
    <x v="1"/>
    <s v="Travel_Frequently"/>
    <n v="1146"/>
    <x v="0"/>
    <n v="25"/>
    <n v="3"/>
    <s v="Medical"/>
    <n v="1"/>
    <n v="1220"/>
    <n v="2"/>
    <s v="Female"/>
    <n v="82"/>
    <n v="3"/>
    <n v="2"/>
    <x v="0"/>
    <n v="3"/>
    <s v="Married"/>
    <n v="4539"/>
    <n v="4905"/>
    <n v="1"/>
    <s v="Y"/>
    <x v="1"/>
    <n v="12"/>
    <n v="3"/>
    <n v="1"/>
    <n v="80"/>
    <n v="1"/>
    <n v="10"/>
    <n v="3"/>
    <n v="2"/>
    <n v="10"/>
    <n v="7"/>
    <n v="0"/>
    <n v="1"/>
    <x v="1"/>
    <x v="1"/>
    <x v="0"/>
  </r>
  <r>
    <n v="36"/>
    <x v="1"/>
    <s v="Travel_Rarely"/>
    <n v="917"/>
    <x v="1"/>
    <n v="6"/>
    <n v="4"/>
    <s v="Life Sciences"/>
    <n v="1"/>
    <n v="1221"/>
    <n v="3"/>
    <s v="Male"/>
    <n v="60"/>
    <n v="1"/>
    <n v="1"/>
    <x v="2"/>
    <n v="3"/>
    <s v="Divorced"/>
    <n v="2741"/>
    <n v="6865"/>
    <n v="1"/>
    <s v="Y"/>
    <x v="1"/>
    <n v="14"/>
    <n v="3"/>
    <n v="3"/>
    <n v="80"/>
    <n v="1"/>
    <n v="7"/>
    <n v="4"/>
    <n v="3"/>
    <n v="7"/>
    <n v="7"/>
    <n v="1"/>
    <n v="7"/>
    <x v="1"/>
    <x v="1"/>
    <x v="1"/>
  </r>
  <r>
    <n v="30"/>
    <x v="1"/>
    <s v="Travel_Rarely"/>
    <n v="853"/>
    <x v="1"/>
    <n v="7"/>
    <n v="4"/>
    <s v="Life Sciences"/>
    <n v="1"/>
    <n v="1224"/>
    <n v="3"/>
    <s v="Male"/>
    <n v="49"/>
    <n v="3"/>
    <n v="2"/>
    <x v="2"/>
    <n v="3"/>
    <s v="Divorced"/>
    <n v="3491"/>
    <n v="11309"/>
    <n v="1"/>
    <s v="Y"/>
    <x v="1"/>
    <n v="13"/>
    <n v="3"/>
    <n v="1"/>
    <n v="80"/>
    <n v="3"/>
    <n v="10"/>
    <n v="4"/>
    <n v="2"/>
    <n v="10"/>
    <n v="7"/>
    <n v="8"/>
    <n v="9"/>
    <x v="1"/>
    <x v="1"/>
    <x v="0"/>
  </r>
  <r>
    <n v="44"/>
    <x v="1"/>
    <s v="Travel_Rarely"/>
    <n v="200"/>
    <x v="1"/>
    <n v="29"/>
    <n v="4"/>
    <s v="Other"/>
    <n v="1"/>
    <n v="1225"/>
    <n v="4"/>
    <s v="Male"/>
    <n v="32"/>
    <n v="3"/>
    <n v="2"/>
    <x v="1"/>
    <n v="4"/>
    <s v="Single"/>
    <n v="4541"/>
    <n v="7744"/>
    <n v="1"/>
    <s v="Y"/>
    <x v="1"/>
    <n v="25"/>
    <n v="4"/>
    <n v="2"/>
    <n v="80"/>
    <n v="0"/>
    <n v="20"/>
    <n v="3"/>
    <n v="3"/>
    <n v="20"/>
    <n v="11"/>
    <n v="13"/>
    <n v="17"/>
    <x v="1"/>
    <x v="0"/>
    <x v="0"/>
  </r>
  <r>
    <n v="20"/>
    <x v="1"/>
    <s v="Travel_Rarely"/>
    <n v="654"/>
    <x v="0"/>
    <n v="21"/>
    <n v="3"/>
    <s v="Marketing"/>
    <n v="1"/>
    <n v="1226"/>
    <n v="3"/>
    <s v="Male"/>
    <n v="43"/>
    <n v="4"/>
    <n v="1"/>
    <x v="6"/>
    <n v="4"/>
    <s v="Single"/>
    <n v="2678"/>
    <n v="5050"/>
    <n v="1"/>
    <s v="Y"/>
    <x v="1"/>
    <n v="17"/>
    <n v="3"/>
    <n v="4"/>
    <n v="80"/>
    <n v="0"/>
    <n v="2"/>
    <n v="2"/>
    <n v="3"/>
    <n v="2"/>
    <n v="1"/>
    <n v="2"/>
    <n v="2"/>
    <x v="1"/>
    <x v="2"/>
    <x v="1"/>
  </r>
  <r>
    <n v="46"/>
    <x v="1"/>
    <s v="Travel_Rarely"/>
    <n v="150"/>
    <x v="1"/>
    <n v="2"/>
    <n v="4"/>
    <s v="Technical Degree"/>
    <n v="1"/>
    <n v="1228"/>
    <n v="4"/>
    <s v="Male"/>
    <n v="60"/>
    <n v="3"/>
    <n v="2"/>
    <x v="3"/>
    <n v="4"/>
    <s v="Divorced"/>
    <n v="7379"/>
    <n v="17433"/>
    <n v="2"/>
    <s v="Y"/>
    <x v="1"/>
    <n v="11"/>
    <n v="3"/>
    <n v="3"/>
    <n v="80"/>
    <n v="1"/>
    <n v="12"/>
    <n v="3"/>
    <n v="2"/>
    <n v="6"/>
    <n v="3"/>
    <n v="1"/>
    <n v="4"/>
    <x v="1"/>
    <x v="0"/>
    <x v="2"/>
  </r>
  <r>
    <n v="42"/>
    <x v="1"/>
    <s v="Non-Travel"/>
    <n v="179"/>
    <x v="2"/>
    <n v="2"/>
    <n v="5"/>
    <s v="Medical"/>
    <n v="1"/>
    <n v="1231"/>
    <n v="4"/>
    <s v="Male"/>
    <n v="79"/>
    <n v="4"/>
    <n v="2"/>
    <x v="8"/>
    <n v="1"/>
    <s v="Married"/>
    <n v="6272"/>
    <n v="12858"/>
    <n v="7"/>
    <s v="Y"/>
    <x v="1"/>
    <n v="16"/>
    <n v="3"/>
    <n v="1"/>
    <n v="80"/>
    <n v="1"/>
    <n v="10"/>
    <n v="3"/>
    <n v="4"/>
    <n v="4"/>
    <n v="3"/>
    <n v="0"/>
    <n v="3"/>
    <x v="1"/>
    <x v="0"/>
    <x v="0"/>
  </r>
  <r>
    <n v="60"/>
    <x v="1"/>
    <s v="Travel_Rarely"/>
    <n v="696"/>
    <x v="0"/>
    <n v="7"/>
    <n v="4"/>
    <s v="Marketing"/>
    <n v="1"/>
    <n v="1233"/>
    <n v="2"/>
    <s v="Male"/>
    <n v="52"/>
    <n v="4"/>
    <n v="2"/>
    <x v="0"/>
    <n v="4"/>
    <s v="Divorced"/>
    <n v="5220"/>
    <n v="10893"/>
    <n v="0"/>
    <s v="Y"/>
    <x v="0"/>
    <n v="18"/>
    <n v="3"/>
    <n v="2"/>
    <n v="80"/>
    <n v="1"/>
    <n v="12"/>
    <n v="3"/>
    <n v="3"/>
    <n v="11"/>
    <n v="7"/>
    <n v="1"/>
    <n v="9"/>
    <x v="1"/>
    <x v="3"/>
    <x v="0"/>
  </r>
  <r>
    <n v="32"/>
    <x v="1"/>
    <s v="Travel_Frequently"/>
    <n v="116"/>
    <x v="1"/>
    <n v="13"/>
    <n v="3"/>
    <s v="Other"/>
    <n v="1"/>
    <n v="1234"/>
    <n v="3"/>
    <s v="Female"/>
    <n v="77"/>
    <n v="2"/>
    <n v="1"/>
    <x v="2"/>
    <n v="2"/>
    <s v="Married"/>
    <n v="2743"/>
    <n v="7331"/>
    <n v="1"/>
    <s v="Y"/>
    <x v="1"/>
    <n v="20"/>
    <n v="4"/>
    <n v="3"/>
    <n v="80"/>
    <n v="1"/>
    <n v="2"/>
    <n v="2"/>
    <n v="3"/>
    <n v="2"/>
    <n v="2"/>
    <n v="2"/>
    <n v="2"/>
    <x v="1"/>
    <x v="1"/>
    <x v="1"/>
  </r>
  <r>
    <n v="32"/>
    <x v="1"/>
    <s v="Travel_Frequently"/>
    <n v="1316"/>
    <x v="1"/>
    <n v="2"/>
    <n v="2"/>
    <s v="Life Sciences"/>
    <n v="1"/>
    <n v="1235"/>
    <n v="4"/>
    <s v="Female"/>
    <n v="38"/>
    <n v="3"/>
    <n v="2"/>
    <x v="1"/>
    <n v="3"/>
    <s v="Single"/>
    <n v="4998"/>
    <n v="2338"/>
    <n v="4"/>
    <s v="Y"/>
    <x v="0"/>
    <n v="14"/>
    <n v="3"/>
    <n v="4"/>
    <n v="80"/>
    <n v="0"/>
    <n v="10"/>
    <n v="2"/>
    <n v="3"/>
    <n v="8"/>
    <n v="7"/>
    <n v="0"/>
    <n v="7"/>
    <x v="1"/>
    <x v="1"/>
    <x v="0"/>
  </r>
  <r>
    <n v="36"/>
    <x v="1"/>
    <s v="Travel_Rarely"/>
    <n v="363"/>
    <x v="1"/>
    <n v="1"/>
    <n v="3"/>
    <s v="Technical Degree"/>
    <n v="1"/>
    <n v="1237"/>
    <n v="3"/>
    <s v="Female"/>
    <n v="77"/>
    <n v="1"/>
    <n v="3"/>
    <x v="3"/>
    <n v="1"/>
    <s v="Divorced"/>
    <n v="10252"/>
    <n v="4235"/>
    <n v="2"/>
    <s v="Y"/>
    <x v="0"/>
    <n v="21"/>
    <n v="4"/>
    <n v="3"/>
    <n v="80"/>
    <n v="1"/>
    <n v="17"/>
    <n v="2"/>
    <n v="3"/>
    <n v="7"/>
    <n v="7"/>
    <n v="7"/>
    <n v="7"/>
    <x v="1"/>
    <x v="1"/>
    <x v="2"/>
  </r>
  <r>
    <n v="33"/>
    <x v="1"/>
    <s v="Travel_Rarely"/>
    <n v="117"/>
    <x v="1"/>
    <n v="9"/>
    <n v="3"/>
    <s v="Medical"/>
    <n v="1"/>
    <n v="1238"/>
    <n v="1"/>
    <s v="Male"/>
    <n v="60"/>
    <n v="3"/>
    <n v="1"/>
    <x v="1"/>
    <n v="4"/>
    <s v="Married"/>
    <n v="2781"/>
    <n v="6311"/>
    <n v="0"/>
    <s v="Y"/>
    <x v="1"/>
    <n v="13"/>
    <n v="3"/>
    <n v="2"/>
    <n v="80"/>
    <n v="1"/>
    <n v="15"/>
    <n v="5"/>
    <n v="3"/>
    <n v="14"/>
    <n v="10"/>
    <n v="4"/>
    <n v="10"/>
    <x v="1"/>
    <x v="1"/>
    <x v="1"/>
  </r>
  <r>
    <n v="40"/>
    <x v="1"/>
    <s v="Travel_Rarely"/>
    <n v="107"/>
    <x v="0"/>
    <n v="10"/>
    <n v="3"/>
    <s v="Technical Degree"/>
    <n v="1"/>
    <n v="1239"/>
    <n v="2"/>
    <s v="Female"/>
    <n v="84"/>
    <n v="2"/>
    <n v="2"/>
    <x v="0"/>
    <n v="2"/>
    <s v="Divorced"/>
    <n v="6852"/>
    <n v="11591"/>
    <n v="7"/>
    <s v="Y"/>
    <x v="1"/>
    <n v="12"/>
    <n v="3"/>
    <n v="2"/>
    <n v="80"/>
    <n v="1"/>
    <n v="7"/>
    <n v="2"/>
    <n v="4"/>
    <n v="5"/>
    <n v="1"/>
    <n v="1"/>
    <n v="3"/>
    <x v="1"/>
    <x v="0"/>
    <x v="0"/>
  </r>
  <r>
    <n v="25"/>
    <x v="1"/>
    <s v="Travel_Rarely"/>
    <n v="1356"/>
    <x v="0"/>
    <n v="10"/>
    <n v="4"/>
    <s v="Life Sciences"/>
    <n v="1"/>
    <n v="1240"/>
    <n v="3"/>
    <s v="Male"/>
    <n v="57"/>
    <n v="3"/>
    <n v="2"/>
    <x v="0"/>
    <n v="4"/>
    <s v="Single"/>
    <n v="4950"/>
    <n v="20623"/>
    <n v="0"/>
    <s v="Y"/>
    <x v="1"/>
    <n v="14"/>
    <n v="3"/>
    <n v="2"/>
    <n v="80"/>
    <n v="0"/>
    <n v="5"/>
    <n v="4"/>
    <n v="3"/>
    <n v="4"/>
    <n v="3"/>
    <n v="1"/>
    <n v="1"/>
    <x v="1"/>
    <x v="2"/>
    <x v="0"/>
  </r>
  <r>
    <n v="30"/>
    <x v="1"/>
    <s v="Travel_Rarely"/>
    <n v="1465"/>
    <x v="1"/>
    <n v="1"/>
    <n v="3"/>
    <s v="Medical"/>
    <n v="1"/>
    <n v="1241"/>
    <n v="4"/>
    <s v="Male"/>
    <n v="63"/>
    <n v="3"/>
    <n v="1"/>
    <x v="1"/>
    <n v="2"/>
    <s v="Married"/>
    <n v="3579"/>
    <n v="9369"/>
    <n v="0"/>
    <s v="Y"/>
    <x v="0"/>
    <n v="21"/>
    <n v="4"/>
    <n v="1"/>
    <n v="80"/>
    <n v="1"/>
    <n v="12"/>
    <n v="2"/>
    <n v="3"/>
    <n v="11"/>
    <n v="9"/>
    <n v="5"/>
    <n v="7"/>
    <x v="1"/>
    <x v="1"/>
    <x v="0"/>
  </r>
  <r>
    <n v="42"/>
    <x v="1"/>
    <s v="Travel_Frequently"/>
    <n v="458"/>
    <x v="1"/>
    <n v="26"/>
    <n v="5"/>
    <s v="Medical"/>
    <n v="1"/>
    <n v="1242"/>
    <n v="1"/>
    <s v="Female"/>
    <n v="60"/>
    <n v="3"/>
    <n v="3"/>
    <x v="7"/>
    <n v="1"/>
    <s v="Married"/>
    <n v="13191"/>
    <n v="23281"/>
    <n v="3"/>
    <s v="Y"/>
    <x v="0"/>
    <n v="17"/>
    <n v="3"/>
    <n v="3"/>
    <n v="80"/>
    <n v="0"/>
    <n v="20"/>
    <n v="6"/>
    <n v="3"/>
    <n v="1"/>
    <n v="0"/>
    <n v="0"/>
    <n v="0"/>
    <x v="1"/>
    <x v="0"/>
    <x v="2"/>
  </r>
  <r>
    <n v="35"/>
    <x v="1"/>
    <s v="Non-Travel"/>
    <n v="1212"/>
    <x v="0"/>
    <n v="8"/>
    <n v="2"/>
    <s v="Marketing"/>
    <n v="1"/>
    <n v="1243"/>
    <n v="3"/>
    <s v="Female"/>
    <n v="78"/>
    <n v="2"/>
    <n v="3"/>
    <x v="0"/>
    <n v="4"/>
    <s v="Married"/>
    <n v="10377"/>
    <n v="13755"/>
    <n v="4"/>
    <s v="Y"/>
    <x v="0"/>
    <n v="11"/>
    <n v="3"/>
    <n v="2"/>
    <n v="80"/>
    <n v="1"/>
    <n v="16"/>
    <n v="6"/>
    <n v="2"/>
    <n v="13"/>
    <n v="2"/>
    <n v="4"/>
    <n v="12"/>
    <x v="1"/>
    <x v="1"/>
    <x v="2"/>
  </r>
  <r>
    <n v="27"/>
    <x v="1"/>
    <s v="Travel_Rarely"/>
    <n v="1103"/>
    <x v="1"/>
    <n v="14"/>
    <n v="3"/>
    <s v="Life Sciences"/>
    <n v="1"/>
    <n v="1244"/>
    <n v="1"/>
    <s v="Male"/>
    <n v="42"/>
    <n v="3"/>
    <n v="1"/>
    <x v="1"/>
    <n v="1"/>
    <s v="Married"/>
    <n v="2235"/>
    <n v="14377"/>
    <n v="1"/>
    <s v="Y"/>
    <x v="0"/>
    <n v="14"/>
    <n v="3"/>
    <n v="4"/>
    <n v="80"/>
    <n v="2"/>
    <n v="9"/>
    <n v="3"/>
    <n v="2"/>
    <n v="9"/>
    <n v="7"/>
    <n v="6"/>
    <n v="8"/>
    <x v="1"/>
    <x v="2"/>
    <x v="1"/>
  </r>
  <r>
    <n v="54"/>
    <x v="1"/>
    <s v="Travel_Frequently"/>
    <n v="966"/>
    <x v="1"/>
    <n v="1"/>
    <n v="4"/>
    <s v="Life Sciences"/>
    <n v="1"/>
    <n v="1245"/>
    <n v="4"/>
    <s v="Female"/>
    <n v="53"/>
    <n v="3"/>
    <n v="3"/>
    <x v="3"/>
    <n v="3"/>
    <s v="Divorced"/>
    <n v="10502"/>
    <n v="9659"/>
    <n v="7"/>
    <s v="Y"/>
    <x v="1"/>
    <n v="17"/>
    <n v="3"/>
    <n v="1"/>
    <n v="80"/>
    <n v="1"/>
    <n v="33"/>
    <n v="2"/>
    <n v="1"/>
    <n v="5"/>
    <n v="4"/>
    <n v="1"/>
    <n v="4"/>
    <x v="1"/>
    <x v="3"/>
    <x v="2"/>
  </r>
  <r>
    <n v="44"/>
    <x v="1"/>
    <s v="Travel_Rarely"/>
    <n v="1117"/>
    <x v="1"/>
    <n v="2"/>
    <n v="1"/>
    <s v="Life Sciences"/>
    <n v="1"/>
    <n v="1246"/>
    <n v="1"/>
    <s v="Female"/>
    <n v="72"/>
    <n v="4"/>
    <n v="1"/>
    <x v="1"/>
    <n v="4"/>
    <s v="Married"/>
    <n v="2011"/>
    <n v="19982"/>
    <n v="1"/>
    <s v="Y"/>
    <x v="1"/>
    <n v="13"/>
    <n v="3"/>
    <n v="4"/>
    <n v="80"/>
    <n v="1"/>
    <n v="10"/>
    <n v="5"/>
    <n v="3"/>
    <n v="10"/>
    <n v="5"/>
    <n v="7"/>
    <n v="7"/>
    <x v="1"/>
    <x v="0"/>
    <x v="1"/>
  </r>
  <r>
    <n v="19"/>
    <x v="0"/>
    <s v="Non-Travel"/>
    <n v="504"/>
    <x v="1"/>
    <n v="10"/>
    <n v="3"/>
    <s v="Medical"/>
    <n v="1"/>
    <n v="1248"/>
    <n v="1"/>
    <s v="Female"/>
    <n v="96"/>
    <n v="2"/>
    <n v="1"/>
    <x v="1"/>
    <n v="2"/>
    <s v="Single"/>
    <n v="1859"/>
    <n v="6148"/>
    <n v="1"/>
    <s v="Y"/>
    <x v="0"/>
    <n v="25"/>
    <n v="4"/>
    <n v="2"/>
    <n v="80"/>
    <n v="0"/>
    <n v="1"/>
    <n v="2"/>
    <n v="4"/>
    <n v="1"/>
    <n v="1"/>
    <n v="0"/>
    <n v="0"/>
    <x v="0"/>
    <x v="2"/>
    <x v="1"/>
  </r>
  <r>
    <n v="29"/>
    <x v="1"/>
    <s v="Travel_Rarely"/>
    <n v="1010"/>
    <x v="1"/>
    <n v="1"/>
    <n v="3"/>
    <s v="Life Sciences"/>
    <n v="1"/>
    <n v="1249"/>
    <n v="1"/>
    <s v="Female"/>
    <n v="97"/>
    <n v="3"/>
    <n v="1"/>
    <x v="1"/>
    <n v="4"/>
    <s v="Divorced"/>
    <n v="3760"/>
    <n v="5598"/>
    <n v="1"/>
    <s v="Y"/>
    <x v="1"/>
    <n v="15"/>
    <n v="3"/>
    <n v="1"/>
    <n v="80"/>
    <n v="3"/>
    <n v="3"/>
    <n v="5"/>
    <n v="3"/>
    <n v="3"/>
    <n v="2"/>
    <n v="1"/>
    <n v="2"/>
    <x v="1"/>
    <x v="2"/>
    <x v="0"/>
  </r>
  <r>
    <n v="54"/>
    <x v="1"/>
    <s v="Travel_Rarely"/>
    <n v="685"/>
    <x v="1"/>
    <n v="3"/>
    <n v="3"/>
    <s v="Life Sciences"/>
    <n v="1"/>
    <n v="1250"/>
    <n v="4"/>
    <s v="Male"/>
    <n v="85"/>
    <n v="3"/>
    <n v="4"/>
    <x v="7"/>
    <n v="4"/>
    <s v="Married"/>
    <n v="17779"/>
    <n v="23474"/>
    <n v="3"/>
    <s v="Y"/>
    <x v="1"/>
    <n v="14"/>
    <n v="3"/>
    <n v="1"/>
    <n v="80"/>
    <n v="0"/>
    <n v="36"/>
    <n v="2"/>
    <n v="3"/>
    <n v="10"/>
    <n v="9"/>
    <n v="0"/>
    <n v="9"/>
    <x v="1"/>
    <x v="3"/>
    <x v="2"/>
  </r>
  <r>
    <n v="31"/>
    <x v="1"/>
    <s v="Travel_Rarely"/>
    <n v="1332"/>
    <x v="1"/>
    <n v="11"/>
    <n v="2"/>
    <s v="Medical"/>
    <n v="1"/>
    <n v="1251"/>
    <n v="3"/>
    <s v="Male"/>
    <n v="80"/>
    <n v="3"/>
    <n v="2"/>
    <x v="4"/>
    <n v="1"/>
    <s v="Married"/>
    <n v="6833"/>
    <n v="17089"/>
    <n v="1"/>
    <s v="Y"/>
    <x v="0"/>
    <n v="12"/>
    <n v="3"/>
    <n v="4"/>
    <n v="80"/>
    <n v="0"/>
    <n v="6"/>
    <n v="2"/>
    <n v="2"/>
    <n v="6"/>
    <n v="5"/>
    <n v="0"/>
    <n v="1"/>
    <x v="1"/>
    <x v="1"/>
    <x v="0"/>
  </r>
  <r>
    <n v="31"/>
    <x v="1"/>
    <s v="Travel_Rarely"/>
    <n v="1062"/>
    <x v="1"/>
    <n v="24"/>
    <n v="3"/>
    <s v="Medical"/>
    <n v="1"/>
    <n v="1252"/>
    <n v="3"/>
    <s v="Female"/>
    <n v="96"/>
    <n v="2"/>
    <n v="2"/>
    <x v="4"/>
    <n v="1"/>
    <s v="Single"/>
    <n v="6812"/>
    <n v="17198"/>
    <n v="1"/>
    <s v="Y"/>
    <x v="1"/>
    <n v="19"/>
    <n v="3"/>
    <n v="2"/>
    <n v="80"/>
    <n v="0"/>
    <n v="10"/>
    <n v="2"/>
    <n v="3"/>
    <n v="10"/>
    <n v="9"/>
    <n v="1"/>
    <n v="8"/>
    <x v="1"/>
    <x v="1"/>
    <x v="0"/>
  </r>
  <r>
    <n v="59"/>
    <x v="1"/>
    <s v="Travel_Rarely"/>
    <n v="326"/>
    <x v="0"/>
    <n v="3"/>
    <n v="3"/>
    <s v="Life Sciences"/>
    <n v="1"/>
    <n v="1254"/>
    <n v="3"/>
    <s v="Female"/>
    <n v="48"/>
    <n v="2"/>
    <n v="2"/>
    <x v="0"/>
    <n v="4"/>
    <s v="Single"/>
    <n v="5171"/>
    <n v="16490"/>
    <n v="5"/>
    <s v="Y"/>
    <x v="1"/>
    <n v="17"/>
    <n v="3"/>
    <n v="4"/>
    <n v="80"/>
    <n v="0"/>
    <n v="13"/>
    <n v="2"/>
    <n v="3"/>
    <n v="6"/>
    <n v="1"/>
    <n v="0"/>
    <n v="5"/>
    <x v="1"/>
    <x v="3"/>
    <x v="0"/>
  </r>
  <r>
    <n v="43"/>
    <x v="1"/>
    <s v="Travel_Rarely"/>
    <n v="920"/>
    <x v="1"/>
    <n v="3"/>
    <n v="3"/>
    <s v="Life Sciences"/>
    <n v="1"/>
    <n v="1255"/>
    <n v="3"/>
    <s v="Male"/>
    <n v="96"/>
    <n v="1"/>
    <n v="5"/>
    <x v="7"/>
    <n v="4"/>
    <s v="Married"/>
    <n v="19740"/>
    <n v="18625"/>
    <n v="3"/>
    <s v="Y"/>
    <x v="1"/>
    <n v="14"/>
    <n v="3"/>
    <n v="2"/>
    <n v="80"/>
    <n v="1"/>
    <n v="25"/>
    <n v="2"/>
    <n v="3"/>
    <n v="8"/>
    <n v="7"/>
    <n v="0"/>
    <n v="7"/>
    <x v="1"/>
    <x v="0"/>
    <x v="2"/>
  </r>
  <r>
    <n v="49"/>
    <x v="1"/>
    <s v="Travel_Rarely"/>
    <n v="1098"/>
    <x v="1"/>
    <n v="4"/>
    <n v="2"/>
    <s v="Medical"/>
    <n v="1"/>
    <n v="1256"/>
    <n v="1"/>
    <s v="Male"/>
    <n v="85"/>
    <n v="2"/>
    <n v="5"/>
    <x v="5"/>
    <n v="3"/>
    <s v="Married"/>
    <n v="18711"/>
    <n v="12124"/>
    <n v="2"/>
    <s v="Y"/>
    <x v="1"/>
    <n v="13"/>
    <n v="3"/>
    <n v="3"/>
    <n v="80"/>
    <n v="1"/>
    <n v="23"/>
    <n v="2"/>
    <n v="4"/>
    <n v="1"/>
    <n v="0"/>
    <n v="0"/>
    <n v="0"/>
    <x v="1"/>
    <x v="0"/>
    <x v="2"/>
  </r>
  <r>
    <n v="36"/>
    <x v="1"/>
    <s v="Travel_Frequently"/>
    <n v="469"/>
    <x v="1"/>
    <n v="3"/>
    <n v="3"/>
    <s v="Technical Degree"/>
    <n v="1"/>
    <n v="1257"/>
    <n v="3"/>
    <s v="Male"/>
    <n v="46"/>
    <n v="3"/>
    <n v="1"/>
    <x v="1"/>
    <n v="2"/>
    <s v="Married"/>
    <n v="3692"/>
    <n v="9256"/>
    <n v="1"/>
    <s v="Y"/>
    <x v="1"/>
    <n v="12"/>
    <n v="3"/>
    <n v="3"/>
    <n v="80"/>
    <n v="0"/>
    <n v="12"/>
    <n v="2"/>
    <n v="2"/>
    <n v="11"/>
    <n v="10"/>
    <n v="0"/>
    <n v="7"/>
    <x v="1"/>
    <x v="1"/>
    <x v="0"/>
  </r>
  <r>
    <n v="48"/>
    <x v="1"/>
    <s v="Travel_Rarely"/>
    <n v="969"/>
    <x v="1"/>
    <n v="2"/>
    <n v="2"/>
    <s v="Technical Degree"/>
    <n v="1"/>
    <n v="1258"/>
    <n v="4"/>
    <s v="Male"/>
    <n v="76"/>
    <n v="4"/>
    <n v="1"/>
    <x v="2"/>
    <n v="2"/>
    <s v="Single"/>
    <n v="2559"/>
    <n v="16620"/>
    <n v="5"/>
    <s v="Y"/>
    <x v="1"/>
    <n v="11"/>
    <n v="3"/>
    <n v="3"/>
    <n v="80"/>
    <n v="0"/>
    <n v="7"/>
    <n v="4"/>
    <n v="2"/>
    <n v="1"/>
    <n v="0"/>
    <n v="0"/>
    <n v="0"/>
    <x v="1"/>
    <x v="0"/>
    <x v="1"/>
  </r>
  <r>
    <n v="27"/>
    <x v="1"/>
    <s v="Travel_Rarely"/>
    <n v="1167"/>
    <x v="1"/>
    <n v="4"/>
    <n v="2"/>
    <s v="Life Sciences"/>
    <n v="1"/>
    <n v="1259"/>
    <n v="1"/>
    <s v="Male"/>
    <n v="76"/>
    <n v="3"/>
    <n v="1"/>
    <x v="1"/>
    <n v="3"/>
    <s v="Divorced"/>
    <n v="2517"/>
    <n v="3208"/>
    <n v="1"/>
    <s v="Y"/>
    <x v="1"/>
    <n v="11"/>
    <n v="3"/>
    <n v="2"/>
    <n v="80"/>
    <n v="3"/>
    <n v="5"/>
    <n v="2"/>
    <n v="3"/>
    <n v="5"/>
    <n v="3"/>
    <n v="0"/>
    <n v="3"/>
    <x v="1"/>
    <x v="2"/>
    <x v="1"/>
  </r>
  <r>
    <n v="29"/>
    <x v="1"/>
    <s v="Travel_Rarely"/>
    <n v="1329"/>
    <x v="1"/>
    <n v="7"/>
    <n v="3"/>
    <s v="Life Sciences"/>
    <n v="1"/>
    <n v="1260"/>
    <n v="3"/>
    <s v="Male"/>
    <n v="82"/>
    <n v="3"/>
    <n v="2"/>
    <x v="4"/>
    <n v="4"/>
    <s v="Divorced"/>
    <n v="6623"/>
    <n v="4204"/>
    <n v="1"/>
    <s v="Y"/>
    <x v="0"/>
    <n v="11"/>
    <n v="3"/>
    <n v="2"/>
    <n v="80"/>
    <n v="2"/>
    <n v="6"/>
    <n v="2"/>
    <n v="3"/>
    <n v="6"/>
    <n v="0"/>
    <n v="1"/>
    <n v="0"/>
    <x v="1"/>
    <x v="2"/>
    <x v="0"/>
  </r>
  <r>
    <n v="48"/>
    <x v="1"/>
    <s v="Travel_Rarely"/>
    <n v="715"/>
    <x v="1"/>
    <n v="1"/>
    <n v="3"/>
    <s v="Life Sciences"/>
    <n v="1"/>
    <n v="1263"/>
    <n v="4"/>
    <s v="Male"/>
    <n v="76"/>
    <n v="2"/>
    <n v="5"/>
    <x v="7"/>
    <n v="4"/>
    <s v="Single"/>
    <n v="18265"/>
    <n v="8733"/>
    <n v="6"/>
    <s v="Y"/>
    <x v="1"/>
    <n v="12"/>
    <n v="3"/>
    <n v="3"/>
    <n v="80"/>
    <n v="0"/>
    <n v="25"/>
    <n v="3"/>
    <n v="4"/>
    <n v="1"/>
    <n v="0"/>
    <n v="0"/>
    <n v="0"/>
    <x v="1"/>
    <x v="0"/>
    <x v="2"/>
  </r>
  <r>
    <n v="29"/>
    <x v="1"/>
    <s v="Travel_Rarely"/>
    <n v="694"/>
    <x v="1"/>
    <n v="1"/>
    <n v="3"/>
    <s v="Life Sciences"/>
    <n v="1"/>
    <n v="1264"/>
    <n v="4"/>
    <s v="Female"/>
    <n v="87"/>
    <n v="2"/>
    <n v="4"/>
    <x v="7"/>
    <n v="4"/>
    <s v="Divorced"/>
    <n v="16124"/>
    <n v="3423"/>
    <n v="3"/>
    <s v="Y"/>
    <x v="1"/>
    <n v="14"/>
    <n v="3"/>
    <n v="2"/>
    <n v="80"/>
    <n v="2"/>
    <n v="9"/>
    <n v="2"/>
    <n v="2"/>
    <n v="7"/>
    <n v="7"/>
    <n v="1"/>
    <n v="7"/>
    <x v="1"/>
    <x v="2"/>
    <x v="2"/>
  </r>
  <r>
    <n v="34"/>
    <x v="1"/>
    <s v="Travel_Rarely"/>
    <n v="1320"/>
    <x v="1"/>
    <n v="20"/>
    <n v="3"/>
    <s v="Technical Degree"/>
    <n v="1"/>
    <n v="1265"/>
    <n v="3"/>
    <s v="Female"/>
    <n v="89"/>
    <n v="4"/>
    <n v="1"/>
    <x v="1"/>
    <n v="3"/>
    <s v="Married"/>
    <n v="2585"/>
    <n v="21643"/>
    <n v="0"/>
    <s v="Y"/>
    <x v="1"/>
    <n v="17"/>
    <n v="3"/>
    <n v="4"/>
    <n v="80"/>
    <n v="0"/>
    <n v="2"/>
    <n v="5"/>
    <n v="2"/>
    <n v="1"/>
    <n v="0"/>
    <n v="0"/>
    <n v="0"/>
    <x v="1"/>
    <x v="1"/>
    <x v="1"/>
  </r>
  <r>
    <n v="44"/>
    <x v="1"/>
    <s v="Travel_Rarely"/>
    <n v="1099"/>
    <x v="0"/>
    <n v="5"/>
    <n v="3"/>
    <s v="Marketing"/>
    <n v="1"/>
    <n v="1267"/>
    <n v="2"/>
    <s v="Male"/>
    <n v="88"/>
    <n v="3"/>
    <n v="5"/>
    <x v="5"/>
    <n v="2"/>
    <s v="Married"/>
    <n v="18213"/>
    <n v="8751"/>
    <n v="7"/>
    <s v="Y"/>
    <x v="1"/>
    <n v="11"/>
    <n v="3"/>
    <n v="3"/>
    <n v="80"/>
    <n v="1"/>
    <n v="26"/>
    <n v="5"/>
    <n v="3"/>
    <n v="22"/>
    <n v="9"/>
    <n v="3"/>
    <n v="10"/>
    <x v="1"/>
    <x v="0"/>
    <x v="2"/>
  </r>
  <r>
    <n v="33"/>
    <x v="1"/>
    <s v="Travel_Rarely"/>
    <n v="536"/>
    <x v="0"/>
    <n v="10"/>
    <n v="5"/>
    <s v="Marketing"/>
    <n v="1"/>
    <n v="1268"/>
    <n v="4"/>
    <s v="Male"/>
    <n v="82"/>
    <n v="4"/>
    <n v="3"/>
    <x v="0"/>
    <n v="3"/>
    <s v="Divorced"/>
    <n v="8380"/>
    <n v="21708"/>
    <n v="0"/>
    <s v="Y"/>
    <x v="0"/>
    <n v="14"/>
    <n v="3"/>
    <n v="4"/>
    <n v="80"/>
    <n v="2"/>
    <n v="10"/>
    <n v="3"/>
    <n v="3"/>
    <n v="9"/>
    <n v="8"/>
    <n v="0"/>
    <n v="8"/>
    <x v="1"/>
    <x v="1"/>
    <x v="2"/>
  </r>
  <r>
    <n v="19"/>
    <x v="1"/>
    <s v="Travel_Rarely"/>
    <n v="265"/>
    <x v="1"/>
    <n v="25"/>
    <n v="3"/>
    <s v="Life Sciences"/>
    <n v="1"/>
    <n v="1269"/>
    <n v="2"/>
    <s v="Female"/>
    <n v="57"/>
    <n v="4"/>
    <n v="1"/>
    <x v="1"/>
    <n v="4"/>
    <s v="Single"/>
    <n v="2994"/>
    <n v="21221"/>
    <n v="1"/>
    <s v="Y"/>
    <x v="0"/>
    <n v="12"/>
    <n v="3"/>
    <n v="4"/>
    <n v="80"/>
    <n v="0"/>
    <n v="1"/>
    <n v="2"/>
    <n v="3"/>
    <n v="1"/>
    <n v="0"/>
    <n v="0"/>
    <n v="1"/>
    <x v="1"/>
    <x v="2"/>
    <x v="1"/>
  </r>
  <r>
    <n v="23"/>
    <x v="1"/>
    <s v="Travel_Rarely"/>
    <n v="373"/>
    <x v="1"/>
    <n v="1"/>
    <n v="2"/>
    <s v="Life Sciences"/>
    <n v="1"/>
    <n v="1270"/>
    <n v="4"/>
    <s v="Male"/>
    <n v="47"/>
    <n v="3"/>
    <n v="1"/>
    <x v="1"/>
    <n v="3"/>
    <s v="Married"/>
    <n v="1223"/>
    <n v="16901"/>
    <n v="1"/>
    <s v="Y"/>
    <x v="1"/>
    <n v="22"/>
    <n v="4"/>
    <n v="4"/>
    <n v="80"/>
    <n v="1"/>
    <n v="1"/>
    <n v="2"/>
    <n v="3"/>
    <n v="1"/>
    <n v="0"/>
    <n v="0"/>
    <n v="1"/>
    <x v="1"/>
    <x v="2"/>
    <x v="1"/>
  </r>
  <r>
    <n v="25"/>
    <x v="0"/>
    <s v="Travel_Frequently"/>
    <n v="599"/>
    <x v="0"/>
    <n v="24"/>
    <n v="1"/>
    <s v="Life Sciences"/>
    <n v="1"/>
    <n v="1273"/>
    <n v="3"/>
    <s v="Male"/>
    <n v="73"/>
    <n v="1"/>
    <n v="1"/>
    <x v="6"/>
    <n v="4"/>
    <s v="Single"/>
    <n v="1118"/>
    <n v="8040"/>
    <n v="1"/>
    <s v="Y"/>
    <x v="0"/>
    <n v="14"/>
    <n v="3"/>
    <n v="4"/>
    <n v="80"/>
    <n v="0"/>
    <n v="1"/>
    <n v="4"/>
    <n v="3"/>
    <n v="1"/>
    <n v="0"/>
    <n v="1"/>
    <n v="0"/>
    <x v="0"/>
    <x v="2"/>
    <x v="1"/>
  </r>
  <r>
    <n v="26"/>
    <x v="1"/>
    <s v="Travel_Rarely"/>
    <n v="583"/>
    <x v="1"/>
    <n v="4"/>
    <n v="2"/>
    <s v="Life Sciences"/>
    <n v="1"/>
    <n v="1275"/>
    <n v="3"/>
    <s v="Male"/>
    <n v="53"/>
    <n v="3"/>
    <n v="1"/>
    <x v="1"/>
    <n v="4"/>
    <s v="Single"/>
    <n v="2875"/>
    <n v="9973"/>
    <n v="1"/>
    <s v="Y"/>
    <x v="0"/>
    <n v="20"/>
    <n v="4"/>
    <n v="2"/>
    <n v="80"/>
    <n v="0"/>
    <n v="8"/>
    <n v="2"/>
    <n v="2"/>
    <n v="8"/>
    <n v="5"/>
    <n v="2"/>
    <n v="2"/>
    <x v="1"/>
    <x v="2"/>
    <x v="1"/>
  </r>
  <r>
    <n v="45"/>
    <x v="0"/>
    <s v="Travel_Rarely"/>
    <n v="1449"/>
    <x v="0"/>
    <n v="2"/>
    <n v="3"/>
    <s v="Marketing"/>
    <n v="1"/>
    <n v="1277"/>
    <n v="1"/>
    <s v="Female"/>
    <n v="94"/>
    <n v="1"/>
    <n v="5"/>
    <x v="5"/>
    <n v="2"/>
    <s v="Single"/>
    <n v="18824"/>
    <n v="2493"/>
    <n v="2"/>
    <s v="Y"/>
    <x v="0"/>
    <n v="16"/>
    <n v="3"/>
    <n v="1"/>
    <n v="80"/>
    <n v="0"/>
    <n v="26"/>
    <n v="2"/>
    <n v="3"/>
    <n v="24"/>
    <n v="10"/>
    <n v="1"/>
    <n v="11"/>
    <x v="0"/>
    <x v="0"/>
    <x v="2"/>
  </r>
  <r>
    <n v="55"/>
    <x v="1"/>
    <s v="Non-Travel"/>
    <n v="177"/>
    <x v="1"/>
    <n v="8"/>
    <n v="1"/>
    <s v="Medical"/>
    <n v="1"/>
    <n v="1278"/>
    <n v="4"/>
    <s v="Male"/>
    <n v="37"/>
    <n v="2"/>
    <n v="4"/>
    <x v="4"/>
    <n v="2"/>
    <s v="Divorced"/>
    <n v="13577"/>
    <n v="25592"/>
    <n v="1"/>
    <s v="Y"/>
    <x v="0"/>
    <n v="15"/>
    <n v="3"/>
    <n v="4"/>
    <n v="80"/>
    <n v="1"/>
    <n v="34"/>
    <n v="3"/>
    <n v="3"/>
    <n v="33"/>
    <n v="9"/>
    <n v="15"/>
    <n v="0"/>
    <x v="1"/>
    <x v="3"/>
    <x v="2"/>
  </r>
  <r>
    <n v="21"/>
    <x v="0"/>
    <s v="Travel_Frequently"/>
    <n v="251"/>
    <x v="1"/>
    <n v="10"/>
    <n v="2"/>
    <s v="Life Sciences"/>
    <n v="1"/>
    <n v="1279"/>
    <n v="1"/>
    <s v="Female"/>
    <n v="45"/>
    <n v="2"/>
    <n v="1"/>
    <x v="2"/>
    <n v="3"/>
    <s v="Single"/>
    <n v="2625"/>
    <n v="25308"/>
    <n v="1"/>
    <s v="Y"/>
    <x v="1"/>
    <n v="20"/>
    <n v="4"/>
    <n v="3"/>
    <n v="80"/>
    <n v="0"/>
    <n v="2"/>
    <n v="2"/>
    <n v="1"/>
    <n v="2"/>
    <n v="2"/>
    <n v="2"/>
    <n v="2"/>
    <x v="0"/>
    <x v="2"/>
    <x v="1"/>
  </r>
  <r>
    <n v="46"/>
    <x v="1"/>
    <s v="Travel_Rarely"/>
    <n v="168"/>
    <x v="0"/>
    <n v="4"/>
    <n v="2"/>
    <s v="Marketing"/>
    <n v="1"/>
    <n v="1280"/>
    <n v="4"/>
    <s v="Female"/>
    <n v="33"/>
    <n v="2"/>
    <n v="5"/>
    <x v="5"/>
    <n v="2"/>
    <s v="Married"/>
    <n v="18789"/>
    <n v="9946"/>
    <n v="2"/>
    <s v="Y"/>
    <x v="1"/>
    <n v="14"/>
    <n v="3"/>
    <n v="3"/>
    <n v="80"/>
    <n v="1"/>
    <n v="26"/>
    <n v="2"/>
    <n v="3"/>
    <n v="11"/>
    <n v="4"/>
    <n v="0"/>
    <n v="8"/>
    <x v="1"/>
    <x v="0"/>
    <x v="2"/>
  </r>
  <r>
    <n v="34"/>
    <x v="1"/>
    <s v="Travel_Rarely"/>
    <n v="131"/>
    <x v="0"/>
    <n v="2"/>
    <n v="3"/>
    <s v="Marketing"/>
    <n v="1"/>
    <n v="1281"/>
    <n v="3"/>
    <s v="Female"/>
    <n v="86"/>
    <n v="3"/>
    <n v="2"/>
    <x v="0"/>
    <n v="1"/>
    <s v="Single"/>
    <n v="4538"/>
    <n v="6039"/>
    <n v="0"/>
    <s v="Y"/>
    <x v="0"/>
    <n v="12"/>
    <n v="3"/>
    <n v="4"/>
    <n v="80"/>
    <n v="0"/>
    <n v="4"/>
    <n v="3"/>
    <n v="3"/>
    <n v="3"/>
    <n v="2"/>
    <n v="0"/>
    <n v="2"/>
    <x v="1"/>
    <x v="1"/>
    <x v="0"/>
  </r>
  <r>
    <n v="51"/>
    <x v="1"/>
    <s v="Travel_Frequently"/>
    <n v="237"/>
    <x v="0"/>
    <n v="9"/>
    <n v="3"/>
    <s v="Life Sciences"/>
    <n v="1"/>
    <n v="1282"/>
    <n v="4"/>
    <s v="Male"/>
    <n v="83"/>
    <n v="3"/>
    <n v="5"/>
    <x v="5"/>
    <n v="2"/>
    <s v="Divorced"/>
    <n v="19847"/>
    <n v="19196"/>
    <n v="4"/>
    <s v="Y"/>
    <x v="0"/>
    <n v="24"/>
    <n v="4"/>
    <n v="1"/>
    <n v="80"/>
    <n v="1"/>
    <n v="31"/>
    <n v="5"/>
    <n v="2"/>
    <n v="29"/>
    <n v="10"/>
    <n v="11"/>
    <n v="10"/>
    <x v="1"/>
    <x v="3"/>
    <x v="2"/>
  </r>
  <r>
    <n v="59"/>
    <x v="1"/>
    <s v="Travel_Rarely"/>
    <n v="1429"/>
    <x v="1"/>
    <n v="18"/>
    <n v="4"/>
    <s v="Medical"/>
    <n v="1"/>
    <n v="1283"/>
    <n v="4"/>
    <s v="Male"/>
    <n v="67"/>
    <n v="3"/>
    <n v="3"/>
    <x v="3"/>
    <n v="4"/>
    <s v="Single"/>
    <n v="10512"/>
    <n v="20002"/>
    <n v="6"/>
    <s v="Y"/>
    <x v="1"/>
    <n v="12"/>
    <n v="3"/>
    <n v="4"/>
    <n v="80"/>
    <n v="0"/>
    <n v="25"/>
    <n v="6"/>
    <n v="2"/>
    <n v="9"/>
    <n v="7"/>
    <n v="5"/>
    <n v="4"/>
    <x v="1"/>
    <x v="3"/>
    <x v="2"/>
  </r>
  <r>
    <n v="34"/>
    <x v="1"/>
    <s v="Travel_Frequently"/>
    <n v="135"/>
    <x v="1"/>
    <n v="19"/>
    <n v="3"/>
    <s v="Medical"/>
    <n v="1"/>
    <n v="1285"/>
    <n v="3"/>
    <s v="Female"/>
    <n v="46"/>
    <n v="3"/>
    <n v="2"/>
    <x v="2"/>
    <n v="2"/>
    <s v="Divorced"/>
    <n v="4444"/>
    <n v="22534"/>
    <n v="4"/>
    <s v="Y"/>
    <x v="1"/>
    <n v="13"/>
    <n v="3"/>
    <n v="3"/>
    <n v="80"/>
    <n v="2"/>
    <n v="15"/>
    <n v="2"/>
    <n v="4"/>
    <n v="11"/>
    <n v="8"/>
    <n v="5"/>
    <n v="10"/>
    <x v="1"/>
    <x v="1"/>
    <x v="0"/>
  </r>
  <r>
    <n v="28"/>
    <x v="1"/>
    <s v="Travel_Frequently"/>
    <n v="791"/>
    <x v="1"/>
    <n v="1"/>
    <n v="4"/>
    <s v="Medical"/>
    <n v="1"/>
    <n v="1286"/>
    <n v="4"/>
    <s v="Male"/>
    <n v="44"/>
    <n v="3"/>
    <n v="1"/>
    <x v="2"/>
    <n v="3"/>
    <s v="Single"/>
    <n v="2154"/>
    <n v="6842"/>
    <n v="0"/>
    <s v="Y"/>
    <x v="0"/>
    <n v="11"/>
    <n v="3"/>
    <n v="3"/>
    <n v="80"/>
    <n v="0"/>
    <n v="5"/>
    <n v="2"/>
    <n v="2"/>
    <n v="4"/>
    <n v="2"/>
    <n v="0"/>
    <n v="2"/>
    <x v="1"/>
    <x v="2"/>
    <x v="1"/>
  </r>
  <r>
    <n v="44"/>
    <x v="1"/>
    <s v="Travel_Rarely"/>
    <n v="1199"/>
    <x v="1"/>
    <n v="4"/>
    <n v="2"/>
    <s v="Life Sciences"/>
    <n v="1"/>
    <n v="1288"/>
    <n v="3"/>
    <s v="Male"/>
    <n v="92"/>
    <n v="4"/>
    <n v="5"/>
    <x v="5"/>
    <n v="1"/>
    <s v="Divorced"/>
    <n v="19190"/>
    <n v="17477"/>
    <n v="1"/>
    <s v="Y"/>
    <x v="1"/>
    <n v="14"/>
    <n v="3"/>
    <n v="4"/>
    <n v="80"/>
    <n v="2"/>
    <n v="26"/>
    <n v="4"/>
    <n v="2"/>
    <n v="25"/>
    <n v="9"/>
    <n v="14"/>
    <n v="13"/>
    <x v="1"/>
    <x v="0"/>
    <x v="2"/>
  </r>
  <r>
    <n v="34"/>
    <x v="1"/>
    <s v="Travel_Frequently"/>
    <n v="648"/>
    <x v="2"/>
    <n v="11"/>
    <n v="3"/>
    <s v="Life Sciences"/>
    <n v="1"/>
    <n v="1289"/>
    <n v="3"/>
    <s v="Male"/>
    <n v="56"/>
    <n v="2"/>
    <n v="2"/>
    <x v="8"/>
    <n v="2"/>
    <s v="Married"/>
    <n v="4490"/>
    <n v="21833"/>
    <n v="4"/>
    <s v="Y"/>
    <x v="1"/>
    <n v="11"/>
    <n v="3"/>
    <n v="4"/>
    <n v="80"/>
    <n v="2"/>
    <n v="14"/>
    <n v="5"/>
    <n v="4"/>
    <n v="10"/>
    <n v="9"/>
    <n v="1"/>
    <n v="8"/>
    <x v="1"/>
    <x v="1"/>
    <x v="0"/>
  </r>
  <r>
    <n v="35"/>
    <x v="1"/>
    <s v="Travel_Rarely"/>
    <n v="735"/>
    <x v="1"/>
    <n v="6"/>
    <n v="1"/>
    <s v="Life Sciences"/>
    <n v="1"/>
    <n v="1291"/>
    <n v="3"/>
    <s v="Male"/>
    <n v="66"/>
    <n v="3"/>
    <n v="1"/>
    <x v="1"/>
    <n v="3"/>
    <s v="Married"/>
    <n v="3506"/>
    <n v="6020"/>
    <n v="0"/>
    <s v="Y"/>
    <x v="0"/>
    <n v="14"/>
    <n v="3"/>
    <n v="4"/>
    <n v="80"/>
    <n v="0"/>
    <n v="4"/>
    <n v="3"/>
    <n v="3"/>
    <n v="3"/>
    <n v="2"/>
    <n v="2"/>
    <n v="2"/>
    <x v="1"/>
    <x v="1"/>
    <x v="0"/>
  </r>
  <r>
    <n v="42"/>
    <x v="1"/>
    <s v="Travel_Rarely"/>
    <n v="603"/>
    <x v="1"/>
    <n v="7"/>
    <n v="4"/>
    <s v="Medical"/>
    <n v="1"/>
    <n v="1292"/>
    <n v="2"/>
    <s v="Female"/>
    <n v="78"/>
    <n v="4"/>
    <n v="2"/>
    <x v="1"/>
    <n v="2"/>
    <s v="Married"/>
    <n v="2372"/>
    <n v="5628"/>
    <n v="6"/>
    <s v="Y"/>
    <x v="0"/>
    <n v="16"/>
    <n v="3"/>
    <n v="4"/>
    <n v="80"/>
    <n v="0"/>
    <n v="18"/>
    <n v="2"/>
    <n v="3"/>
    <n v="1"/>
    <n v="0"/>
    <n v="0"/>
    <n v="0"/>
    <x v="1"/>
    <x v="0"/>
    <x v="1"/>
  </r>
  <r>
    <n v="43"/>
    <x v="1"/>
    <s v="Travel_Rarely"/>
    <n v="531"/>
    <x v="0"/>
    <n v="4"/>
    <n v="4"/>
    <s v="Marketing"/>
    <n v="1"/>
    <n v="1293"/>
    <n v="4"/>
    <s v="Female"/>
    <n v="56"/>
    <n v="2"/>
    <n v="3"/>
    <x v="0"/>
    <n v="4"/>
    <s v="Single"/>
    <n v="10231"/>
    <n v="20364"/>
    <n v="3"/>
    <s v="Y"/>
    <x v="1"/>
    <n v="14"/>
    <n v="3"/>
    <n v="4"/>
    <n v="80"/>
    <n v="0"/>
    <n v="23"/>
    <n v="3"/>
    <n v="4"/>
    <n v="21"/>
    <n v="7"/>
    <n v="15"/>
    <n v="17"/>
    <x v="1"/>
    <x v="0"/>
    <x v="2"/>
  </r>
  <r>
    <n v="36"/>
    <x v="1"/>
    <s v="Travel_Rarely"/>
    <n v="429"/>
    <x v="1"/>
    <n v="2"/>
    <n v="4"/>
    <s v="Life Sciences"/>
    <n v="1"/>
    <n v="1294"/>
    <n v="3"/>
    <s v="Female"/>
    <n v="53"/>
    <n v="3"/>
    <n v="2"/>
    <x v="3"/>
    <n v="2"/>
    <s v="Single"/>
    <n v="5410"/>
    <n v="2323"/>
    <n v="9"/>
    <s v="Y"/>
    <x v="0"/>
    <n v="11"/>
    <n v="3"/>
    <n v="4"/>
    <n v="80"/>
    <n v="0"/>
    <n v="18"/>
    <n v="2"/>
    <n v="3"/>
    <n v="16"/>
    <n v="14"/>
    <n v="5"/>
    <n v="12"/>
    <x v="1"/>
    <x v="1"/>
    <x v="0"/>
  </r>
  <r>
    <n v="44"/>
    <x v="0"/>
    <s v="Travel_Rarely"/>
    <n v="621"/>
    <x v="1"/>
    <n v="15"/>
    <n v="3"/>
    <s v="Medical"/>
    <n v="1"/>
    <n v="1295"/>
    <n v="1"/>
    <s v="Female"/>
    <n v="73"/>
    <n v="3"/>
    <n v="3"/>
    <x v="4"/>
    <n v="4"/>
    <s v="Married"/>
    <n v="7978"/>
    <n v="14075"/>
    <n v="1"/>
    <s v="Y"/>
    <x v="1"/>
    <n v="11"/>
    <n v="3"/>
    <n v="4"/>
    <n v="80"/>
    <n v="1"/>
    <n v="10"/>
    <n v="2"/>
    <n v="3"/>
    <n v="10"/>
    <n v="7"/>
    <n v="0"/>
    <n v="5"/>
    <x v="0"/>
    <x v="0"/>
    <x v="2"/>
  </r>
  <r>
    <n v="28"/>
    <x v="1"/>
    <s v="Travel_Frequently"/>
    <n v="193"/>
    <x v="1"/>
    <n v="2"/>
    <n v="3"/>
    <s v="Life Sciences"/>
    <n v="1"/>
    <n v="1296"/>
    <n v="4"/>
    <s v="Male"/>
    <n v="52"/>
    <n v="2"/>
    <n v="1"/>
    <x v="2"/>
    <n v="4"/>
    <s v="Married"/>
    <n v="3867"/>
    <n v="14222"/>
    <n v="1"/>
    <s v="Y"/>
    <x v="0"/>
    <n v="12"/>
    <n v="3"/>
    <n v="2"/>
    <n v="80"/>
    <n v="1"/>
    <n v="2"/>
    <n v="2"/>
    <n v="3"/>
    <n v="2"/>
    <n v="2"/>
    <n v="2"/>
    <n v="2"/>
    <x v="1"/>
    <x v="2"/>
    <x v="0"/>
  </r>
  <r>
    <n v="51"/>
    <x v="1"/>
    <s v="Travel_Frequently"/>
    <n v="968"/>
    <x v="1"/>
    <n v="6"/>
    <n v="2"/>
    <s v="Medical"/>
    <n v="1"/>
    <n v="1297"/>
    <n v="2"/>
    <s v="Female"/>
    <n v="40"/>
    <n v="2"/>
    <n v="1"/>
    <x v="2"/>
    <n v="3"/>
    <s v="Single"/>
    <n v="2838"/>
    <n v="4257"/>
    <n v="0"/>
    <s v="Y"/>
    <x v="1"/>
    <n v="14"/>
    <n v="3"/>
    <n v="2"/>
    <n v="80"/>
    <n v="0"/>
    <n v="8"/>
    <n v="6"/>
    <n v="2"/>
    <n v="7"/>
    <n v="0"/>
    <n v="7"/>
    <n v="7"/>
    <x v="1"/>
    <x v="3"/>
    <x v="1"/>
  </r>
  <r>
    <n v="30"/>
    <x v="1"/>
    <s v="Non-Travel"/>
    <n v="879"/>
    <x v="1"/>
    <n v="9"/>
    <n v="2"/>
    <s v="Medical"/>
    <n v="1"/>
    <n v="1298"/>
    <n v="3"/>
    <s v="Female"/>
    <n v="72"/>
    <n v="3"/>
    <n v="2"/>
    <x v="3"/>
    <n v="3"/>
    <s v="Single"/>
    <n v="4695"/>
    <n v="12858"/>
    <n v="7"/>
    <s v="Y"/>
    <x v="0"/>
    <n v="18"/>
    <n v="3"/>
    <n v="3"/>
    <n v="80"/>
    <n v="0"/>
    <n v="10"/>
    <n v="3"/>
    <n v="3"/>
    <n v="8"/>
    <n v="4"/>
    <n v="1"/>
    <n v="7"/>
    <x v="1"/>
    <x v="1"/>
    <x v="0"/>
  </r>
  <r>
    <n v="29"/>
    <x v="0"/>
    <s v="Travel_Rarely"/>
    <n v="806"/>
    <x v="1"/>
    <n v="7"/>
    <n v="3"/>
    <s v="Technical Degree"/>
    <n v="1"/>
    <n v="1299"/>
    <n v="2"/>
    <s v="Female"/>
    <n v="39"/>
    <n v="3"/>
    <n v="1"/>
    <x v="2"/>
    <n v="3"/>
    <s v="Divorced"/>
    <n v="3339"/>
    <n v="17285"/>
    <n v="3"/>
    <s v="Y"/>
    <x v="0"/>
    <n v="13"/>
    <n v="3"/>
    <n v="1"/>
    <n v="80"/>
    <n v="2"/>
    <n v="10"/>
    <n v="2"/>
    <n v="3"/>
    <n v="7"/>
    <n v="7"/>
    <n v="7"/>
    <n v="7"/>
    <x v="0"/>
    <x v="2"/>
    <x v="0"/>
  </r>
  <r>
    <n v="28"/>
    <x v="1"/>
    <s v="Travel_Rarely"/>
    <n v="640"/>
    <x v="1"/>
    <n v="1"/>
    <n v="3"/>
    <s v="Technical Degree"/>
    <n v="1"/>
    <n v="1301"/>
    <n v="4"/>
    <s v="Male"/>
    <n v="84"/>
    <n v="3"/>
    <n v="1"/>
    <x v="1"/>
    <n v="1"/>
    <s v="Single"/>
    <n v="2080"/>
    <n v="4732"/>
    <n v="2"/>
    <s v="Y"/>
    <x v="1"/>
    <n v="11"/>
    <n v="3"/>
    <n v="2"/>
    <n v="80"/>
    <n v="0"/>
    <n v="5"/>
    <n v="2"/>
    <n v="2"/>
    <n v="3"/>
    <n v="2"/>
    <n v="1"/>
    <n v="2"/>
    <x v="1"/>
    <x v="2"/>
    <x v="1"/>
  </r>
  <r>
    <n v="25"/>
    <x v="1"/>
    <s v="Travel_Rarely"/>
    <n v="266"/>
    <x v="1"/>
    <n v="1"/>
    <n v="3"/>
    <s v="Medical"/>
    <n v="1"/>
    <n v="1303"/>
    <n v="4"/>
    <s v="Female"/>
    <n v="40"/>
    <n v="3"/>
    <n v="1"/>
    <x v="1"/>
    <n v="2"/>
    <s v="Single"/>
    <n v="2096"/>
    <n v="18830"/>
    <n v="1"/>
    <s v="Y"/>
    <x v="1"/>
    <n v="18"/>
    <n v="3"/>
    <n v="4"/>
    <n v="80"/>
    <n v="0"/>
    <n v="2"/>
    <n v="3"/>
    <n v="2"/>
    <n v="2"/>
    <n v="2"/>
    <n v="2"/>
    <n v="1"/>
    <x v="1"/>
    <x v="2"/>
    <x v="1"/>
  </r>
  <r>
    <n v="32"/>
    <x v="1"/>
    <s v="Travel_Rarely"/>
    <n v="604"/>
    <x v="0"/>
    <n v="8"/>
    <n v="3"/>
    <s v="Medical"/>
    <n v="1"/>
    <n v="1304"/>
    <n v="3"/>
    <s v="Male"/>
    <n v="56"/>
    <n v="4"/>
    <n v="2"/>
    <x v="0"/>
    <n v="4"/>
    <s v="Married"/>
    <n v="6209"/>
    <n v="11693"/>
    <n v="1"/>
    <s v="Y"/>
    <x v="1"/>
    <n v="15"/>
    <n v="3"/>
    <n v="3"/>
    <n v="80"/>
    <n v="2"/>
    <n v="10"/>
    <n v="4"/>
    <n v="4"/>
    <n v="10"/>
    <n v="7"/>
    <n v="0"/>
    <n v="8"/>
    <x v="1"/>
    <x v="1"/>
    <x v="0"/>
  </r>
  <r>
    <n v="45"/>
    <x v="1"/>
    <s v="Travel_Frequently"/>
    <n v="364"/>
    <x v="1"/>
    <n v="25"/>
    <n v="3"/>
    <s v="Medical"/>
    <n v="1"/>
    <n v="1306"/>
    <n v="2"/>
    <s v="Female"/>
    <n v="83"/>
    <n v="3"/>
    <n v="5"/>
    <x v="5"/>
    <n v="2"/>
    <s v="Single"/>
    <n v="18061"/>
    <n v="13035"/>
    <n v="3"/>
    <s v="Y"/>
    <x v="1"/>
    <n v="22"/>
    <n v="4"/>
    <n v="3"/>
    <n v="80"/>
    <n v="0"/>
    <n v="22"/>
    <n v="4"/>
    <n v="3"/>
    <n v="0"/>
    <n v="0"/>
    <n v="0"/>
    <n v="0"/>
    <x v="1"/>
    <x v="0"/>
    <x v="2"/>
  </r>
  <r>
    <n v="39"/>
    <x v="1"/>
    <s v="Travel_Rarely"/>
    <n v="412"/>
    <x v="1"/>
    <n v="13"/>
    <n v="4"/>
    <s v="Medical"/>
    <n v="1"/>
    <n v="1307"/>
    <n v="3"/>
    <s v="Female"/>
    <n v="94"/>
    <n v="2"/>
    <n v="4"/>
    <x v="5"/>
    <n v="2"/>
    <s v="Divorced"/>
    <n v="17123"/>
    <n v="17334"/>
    <n v="6"/>
    <s v="Y"/>
    <x v="0"/>
    <n v="13"/>
    <n v="3"/>
    <n v="4"/>
    <n v="80"/>
    <n v="2"/>
    <n v="21"/>
    <n v="4"/>
    <n v="3"/>
    <n v="19"/>
    <n v="9"/>
    <n v="15"/>
    <n v="2"/>
    <x v="1"/>
    <x v="1"/>
    <x v="2"/>
  </r>
  <r>
    <n v="58"/>
    <x v="1"/>
    <s v="Travel_Rarely"/>
    <n v="848"/>
    <x v="1"/>
    <n v="23"/>
    <n v="4"/>
    <s v="Life Sciences"/>
    <n v="1"/>
    <n v="1308"/>
    <n v="1"/>
    <s v="Male"/>
    <n v="88"/>
    <n v="3"/>
    <n v="1"/>
    <x v="1"/>
    <n v="3"/>
    <s v="Divorced"/>
    <n v="2372"/>
    <n v="26076"/>
    <n v="1"/>
    <s v="Y"/>
    <x v="1"/>
    <n v="12"/>
    <n v="3"/>
    <n v="4"/>
    <n v="80"/>
    <n v="2"/>
    <n v="2"/>
    <n v="3"/>
    <n v="3"/>
    <n v="2"/>
    <n v="2"/>
    <n v="2"/>
    <n v="2"/>
    <x v="1"/>
    <x v="3"/>
    <x v="1"/>
  </r>
  <r>
    <n v="32"/>
    <x v="0"/>
    <s v="Travel_Rarely"/>
    <n v="1089"/>
    <x v="1"/>
    <n v="7"/>
    <n v="2"/>
    <s v="Life Sciences"/>
    <n v="1"/>
    <n v="1309"/>
    <n v="4"/>
    <s v="Male"/>
    <n v="79"/>
    <n v="3"/>
    <n v="2"/>
    <x v="2"/>
    <n v="3"/>
    <s v="Married"/>
    <n v="4883"/>
    <n v="22845"/>
    <n v="1"/>
    <s v="Y"/>
    <x v="1"/>
    <n v="18"/>
    <n v="3"/>
    <n v="1"/>
    <n v="80"/>
    <n v="1"/>
    <n v="10"/>
    <n v="3"/>
    <n v="3"/>
    <n v="10"/>
    <n v="4"/>
    <n v="1"/>
    <n v="1"/>
    <x v="0"/>
    <x v="1"/>
    <x v="0"/>
  </r>
  <r>
    <n v="39"/>
    <x v="0"/>
    <s v="Travel_Rarely"/>
    <n v="360"/>
    <x v="1"/>
    <n v="23"/>
    <n v="3"/>
    <s v="Medical"/>
    <n v="1"/>
    <n v="1310"/>
    <n v="3"/>
    <s v="Male"/>
    <n v="93"/>
    <n v="3"/>
    <n v="1"/>
    <x v="1"/>
    <n v="1"/>
    <s v="Single"/>
    <n v="3904"/>
    <n v="22154"/>
    <n v="0"/>
    <s v="Y"/>
    <x v="1"/>
    <n v="13"/>
    <n v="3"/>
    <n v="1"/>
    <n v="80"/>
    <n v="0"/>
    <n v="6"/>
    <n v="2"/>
    <n v="3"/>
    <n v="5"/>
    <n v="2"/>
    <n v="0"/>
    <n v="3"/>
    <x v="0"/>
    <x v="1"/>
    <x v="0"/>
  </r>
  <r>
    <n v="30"/>
    <x v="1"/>
    <s v="Travel_Rarely"/>
    <n v="1138"/>
    <x v="1"/>
    <n v="6"/>
    <n v="3"/>
    <s v="Technical Degree"/>
    <n v="1"/>
    <n v="1311"/>
    <n v="1"/>
    <s v="Female"/>
    <n v="48"/>
    <n v="2"/>
    <n v="2"/>
    <x v="2"/>
    <n v="4"/>
    <s v="Married"/>
    <n v="4627"/>
    <n v="23631"/>
    <n v="0"/>
    <s v="Y"/>
    <x v="1"/>
    <n v="12"/>
    <n v="3"/>
    <n v="1"/>
    <n v="80"/>
    <n v="1"/>
    <n v="10"/>
    <n v="6"/>
    <n v="3"/>
    <n v="9"/>
    <n v="2"/>
    <n v="6"/>
    <n v="7"/>
    <x v="1"/>
    <x v="1"/>
    <x v="0"/>
  </r>
  <r>
    <n v="36"/>
    <x v="1"/>
    <s v="Travel_Rarely"/>
    <n v="325"/>
    <x v="1"/>
    <n v="10"/>
    <n v="4"/>
    <s v="Technical Degree"/>
    <n v="1"/>
    <n v="1312"/>
    <n v="4"/>
    <s v="Female"/>
    <n v="63"/>
    <n v="3"/>
    <n v="3"/>
    <x v="4"/>
    <n v="3"/>
    <s v="Married"/>
    <n v="7094"/>
    <n v="5747"/>
    <n v="3"/>
    <s v="Y"/>
    <x v="1"/>
    <n v="12"/>
    <n v="3"/>
    <n v="1"/>
    <n v="80"/>
    <n v="0"/>
    <n v="10"/>
    <n v="0"/>
    <n v="3"/>
    <n v="7"/>
    <n v="7"/>
    <n v="1"/>
    <n v="7"/>
    <x v="1"/>
    <x v="1"/>
    <x v="2"/>
  </r>
  <r>
    <n v="46"/>
    <x v="1"/>
    <s v="Travel_Rarely"/>
    <n v="991"/>
    <x v="2"/>
    <n v="1"/>
    <n v="2"/>
    <s v="Life Sciences"/>
    <n v="1"/>
    <n v="1314"/>
    <n v="4"/>
    <s v="Female"/>
    <n v="44"/>
    <n v="3"/>
    <n v="1"/>
    <x v="8"/>
    <n v="1"/>
    <s v="Single"/>
    <n v="3423"/>
    <n v="22957"/>
    <n v="6"/>
    <s v="Y"/>
    <x v="1"/>
    <n v="12"/>
    <n v="3"/>
    <n v="3"/>
    <n v="80"/>
    <n v="0"/>
    <n v="10"/>
    <n v="3"/>
    <n v="4"/>
    <n v="7"/>
    <n v="6"/>
    <n v="5"/>
    <n v="7"/>
    <x v="1"/>
    <x v="0"/>
    <x v="0"/>
  </r>
  <r>
    <n v="28"/>
    <x v="1"/>
    <s v="Non-Travel"/>
    <n v="1476"/>
    <x v="1"/>
    <n v="1"/>
    <n v="3"/>
    <s v="Life Sciences"/>
    <n v="1"/>
    <n v="1315"/>
    <n v="3"/>
    <s v="Female"/>
    <n v="55"/>
    <n v="1"/>
    <n v="2"/>
    <x v="2"/>
    <n v="4"/>
    <s v="Married"/>
    <n v="6674"/>
    <n v="16392"/>
    <n v="0"/>
    <s v="Y"/>
    <x v="1"/>
    <n v="11"/>
    <n v="3"/>
    <n v="1"/>
    <n v="80"/>
    <n v="3"/>
    <n v="10"/>
    <n v="6"/>
    <n v="3"/>
    <n v="9"/>
    <n v="8"/>
    <n v="7"/>
    <n v="5"/>
    <x v="1"/>
    <x v="2"/>
    <x v="0"/>
  </r>
  <r>
    <n v="50"/>
    <x v="1"/>
    <s v="Travel_Rarely"/>
    <n v="1322"/>
    <x v="1"/>
    <n v="28"/>
    <n v="3"/>
    <s v="Life Sciences"/>
    <n v="1"/>
    <n v="1317"/>
    <n v="4"/>
    <s v="Female"/>
    <n v="43"/>
    <n v="3"/>
    <n v="4"/>
    <x v="7"/>
    <n v="1"/>
    <s v="Married"/>
    <n v="16880"/>
    <n v="22422"/>
    <n v="4"/>
    <s v="Y"/>
    <x v="0"/>
    <n v="11"/>
    <n v="3"/>
    <n v="2"/>
    <n v="80"/>
    <n v="0"/>
    <n v="25"/>
    <n v="2"/>
    <n v="3"/>
    <n v="3"/>
    <n v="2"/>
    <n v="1"/>
    <n v="2"/>
    <x v="1"/>
    <x v="3"/>
    <x v="2"/>
  </r>
  <r>
    <n v="40"/>
    <x v="0"/>
    <s v="Travel_Rarely"/>
    <n v="299"/>
    <x v="0"/>
    <n v="25"/>
    <n v="4"/>
    <s v="Marketing"/>
    <n v="1"/>
    <n v="1318"/>
    <n v="4"/>
    <s v="Male"/>
    <n v="57"/>
    <n v="2"/>
    <n v="3"/>
    <x v="0"/>
    <n v="2"/>
    <s v="Single"/>
    <n v="9094"/>
    <n v="17235"/>
    <n v="2"/>
    <s v="Y"/>
    <x v="0"/>
    <n v="12"/>
    <n v="3"/>
    <n v="3"/>
    <n v="80"/>
    <n v="0"/>
    <n v="9"/>
    <n v="2"/>
    <n v="3"/>
    <n v="5"/>
    <n v="4"/>
    <n v="1"/>
    <n v="0"/>
    <x v="0"/>
    <x v="0"/>
    <x v="2"/>
  </r>
  <r>
    <n v="52"/>
    <x v="0"/>
    <s v="Travel_Rarely"/>
    <n v="1030"/>
    <x v="0"/>
    <n v="5"/>
    <n v="3"/>
    <s v="Life Sciences"/>
    <n v="1"/>
    <n v="1319"/>
    <n v="2"/>
    <s v="Male"/>
    <n v="64"/>
    <n v="3"/>
    <n v="3"/>
    <x v="0"/>
    <n v="2"/>
    <s v="Single"/>
    <n v="8446"/>
    <n v="21534"/>
    <n v="9"/>
    <s v="Y"/>
    <x v="0"/>
    <n v="19"/>
    <n v="3"/>
    <n v="3"/>
    <n v="80"/>
    <n v="0"/>
    <n v="10"/>
    <n v="2"/>
    <n v="2"/>
    <n v="8"/>
    <n v="7"/>
    <n v="7"/>
    <n v="7"/>
    <x v="0"/>
    <x v="3"/>
    <x v="2"/>
  </r>
  <r>
    <n v="30"/>
    <x v="1"/>
    <s v="Travel_Rarely"/>
    <n v="634"/>
    <x v="1"/>
    <n v="17"/>
    <n v="4"/>
    <s v="Medical"/>
    <n v="1"/>
    <n v="1321"/>
    <n v="2"/>
    <s v="Female"/>
    <n v="95"/>
    <n v="3"/>
    <n v="3"/>
    <x v="5"/>
    <n v="1"/>
    <s v="Married"/>
    <n v="11916"/>
    <n v="25927"/>
    <n v="1"/>
    <s v="Y"/>
    <x v="0"/>
    <n v="23"/>
    <n v="4"/>
    <n v="4"/>
    <n v="80"/>
    <n v="2"/>
    <n v="9"/>
    <n v="2"/>
    <n v="3"/>
    <n v="9"/>
    <n v="1"/>
    <n v="0"/>
    <n v="8"/>
    <x v="1"/>
    <x v="1"/>
    <x v="2"/>
  </r>
  <r>
    <n v="39"/>
    <x v="1"/>
    <s v="Travel_Rarely"/>
    <n v="524"/>
    <x v="1"/>
    <n v="18"/>
    <n v="2"/>
    <s v="Life Sciences"/>
    <n v="1"/>
    <n v="1322"/>
    <n v="1"/>
    <s v="Male"/>
    <n v="32"/>
    <n v="3"/>
    <n v="2"/>
    <x v="3"/>
    <n v="3"/>
    <s v="Single"/>
    <n v="4534"/>
    <n v="13352"/>
    <n v="0"/>
    <s v="Y"/>
    <x v="1"/>
    <n v="11"/>
    <n v="3"/>
    <n v="1"/>
    <n v="80"/>
    <n v="0"/>
    <n v="9"/>
    <n v="6"/>
    <n v="3"/>
    <n v="8"/>
    <n v="7"/>
    <n v="1"/>
    <n v="7"/>
    <x v="1"/>
    <x v="1"/>
    <x v="0"/>
  </r>
  <r>
    <n v="31"/>
    <x v="1"/>
    <s v="Non-Travel"/>
    <n v="587"/>
    <x v="0"/>
    <n v="2"/>
    <n v="4"/>
    <s v="Life Sciences"/>
    <n v="1"/>
    <n v="1324"/>
    <n v="4"/>
    <s v="Female"/>
    <n v="57"/>
    <n v="3"/>
    <n v="3"/>
    <x v="0"/>
    <n v="3"/>
    <s v="Divorced"/>
    <n v="9852"/>
    <n v="8935"/>
    <n v="1"/>
    <s v="Y"/>
    <x v="0"/>
    <n v="19"/>
    <n v="3"/>
    <n v="1"/>
    <n v="80"/>
    <n v="1"/>
    <n v="10"/>
    <n v="5"/>
    <n v="2"/>
    <n v="10"/>
    <n v="8"/>
    <n v="9"/>
    <n v="6"/>
    <x v="1"/>
    <x v="1"/>
    <x v="2"/>
  </r>
  <r>
    <n v="41"/>
    <x v="1"/>
    <s v="Non-Travel"/>
    <n v="256"/>
    <x v="0"/>
    <n v="10"/>
    <n v="2"/>
    <s v="Medical"/>
    <n v="1"/>
    <n v="1329"/>
    <n v="3"/>
    <s v="Male"/>
    <n v="40"/>
    <n v="1"/>
    <n v="2"/>
    <x v="0"/>
    <n v="2"/>
    <s v="Single"/>
    <n v="6151"/>
    <n v="22074"/>
    <n v="1"/>
    <s v="Y"/>
    <x v="1"/>
    <n v="13"/>
    <n v="3"/>
    <n v="1"/>
    <n v="80"/>
    <n v="0"/>
    <n v="19"/>
    <n v="4"/>
    <n v="3"/>
    <n v="19"/>
    <n v="2"/>
    <n v="11"/>
    <n v="9"/>
    <x v="1"/>
    <x v="0"/>
    <x v="0"/>
  </r>
  <r>
    <n v="31"/>
    <x v="0"/>
    <s v="Travel_Frequently"/>
    <n v="1060"/>
    <x v="0"/>
    <n v="1"/>
    <n v="3"/>
    <s v="Life Sciences"/>
    <n v="1"/>
    <n v="1331"/>
    <n v="4"/>
    <s v="Female"/>
    <n v="54"/>
    <n v="3"/>
    <n v="1"/>
    <x v="6"/>
    <n v="2"/>
    <s v="Single"/>
    <n v="2302"/>
    <n v="8319"/>
    <n v="1"/>
    <s v="Y"/>
    <x v="0"/>
    <n v="11"/>
    <n v="3"/>
    <n v="1"/>
    <n v="80"/>
    <n v="0"/>
    <n v="3"/>
    <n v="2"/>
    <n v="4"/>
    <n v="3"/>
    <n v="2"/>
    <n v="2"/>
    <n v="2"/>
    <x v="0"/>
    <x v="1"/>
    <x v="1"/>
  </r>
  <r>
    <n v="44"/>
    <x v="0"/>
    <s v="Travel_Rarely"/>
    <n v="935"/>
    <x v="1"/>
    <n v="3"/>
    <n v="3"/>
    <s v="Life Sciences"/>
    <n v="1"/>
    <n v="1333"/>
    <n v="1"/>
    <s v="Male"/>
    <n v="89"/>
    <n v="3"/>
    <n v="1"/>
    <x v="2"/>
    <n v="1"/>
    <s v="Married"/>
    <n v="2362"/>
    <n v="14669"/>
    <n v="4"/>
    <s v="Y"/>
    <x v="1"/>
    <n v="12"/>
    <n v="3"/>
    <n v="3"/>
    <n v="80"/>
    <n v="0"/>
    <n v="10"/>
    <n v="4"/>
    <n v="4"/>
    <n v="3"/>
    <n v="2"/>
    <n v="1"/>
    <n v="2"/>
    <x v="0"/>
    <x v="0"/>
    <x v="1"/>
  </r>
  <r>
    <n v="42"/>
    <x v="1"/>
    <s v="Non-Travel"/>
    <n v="495"/>
    <x v="1"/>
    <n v="2"/>
    <n v="1"/>
    <s v="Life Sciences"/>
    <n v="1"/>
    <n v="1334"/>
    <n v="3"/>
    <s v="Male"/>
    <n v="37"/>
    <n v="3"/>
    <n v="4"/>
    <x v="5"/>
    <n v="3"/>
    <s v="Married"/>
    <n v="17861"/>
    <n v="26582"/>
    <n v="0"/>
    <s v="Y"/>
    <x v="0"/>
    <n v="13"/>
    <n v="3"/>
    <n v="4"/>
    <n v="80"/>
    <n v="0"/>
    <n v="21"/>
    <n v="3"/>
    <n v="2"/>
    <n v="20"/>
    <n v="8"/>
    <n v="2"/>
    <n v="10"/>
    <x v="1"/>
    <x v="0"/>
    <x v="2"/>
  </r>
  <r>
    <n v="55"/>
    <x v="1"/>
    <s v="Travel_Rarely"/>
    <n v="282"/>
    <x v="1"/>
    <n v="2"/>
    <n v="2"/>
    <s v="Medical"/>
    <n v="1"/>
    <n v="1336"/>
    <n v="4"/>
    <s v="Female"/>
    <n v="58"/>
    <n v="1"/>
    <n v="5"/>
    <x v="5"/>
    <n v="3"/>
    <s v="Married"/>
    <n v="19187"/>
    <n v="6992"/>
    <n v="4"/>
    <s v="Y"/>
    <x v="1"/>
    <n v="14"/>
    <n v="3"/>
    <n v="4"/>
    <n v="80"/>
    <n v="1"/>
    <n v="23"/>
    <n v="5"/>
    <n v="3"/>
    <n v="19"/>
    <n v="9"/>
    <n v="9"/>
    <n v="11"/>
    <x v="1"/>
    <x v="3"/>
    <x v="2"/>
  </r>
  <r>
    <n v="56"/>
    <x v="1"/>
    <s v="Travel_Rarely"/>
    <n v="206"/>
    <x v="2"/>
    <n v="8"/>
    <n v="4"/>
    <s v="Life Sciences"/>
    <n v="1"/>
    <n v="1338"/>
    <n v="4"/>
    <s v="Male"/>
    <n v="99"/>
    <n v="3"/>
    <n v="5"/>
    <x v="5"/>
    <n v="2"/>
    <s v="Single"/>
    <n v="19717"/>
    <n v="4022"/>
    <n v="6"/>
    <s v="Y"/>
    <x v="1"/>
    <n v="14"/>
    <n v="3"/>
    <n v="1"/>
    <n v="80"/>
    <n v="0"/>
    <n v="36"/>
    <n v="4"/>
    <n v="3"/>
    <n v="7"/>
    <n v="3"/>
    <n v="7"/>
    <n v="7"/>
    <x v="1"/>
    <x v="3"/>
    <x v="2"/>
  </r>
  <r>
    <n v="40"/>
    <x v="1"/>
    <s v="Non-Travel"/>
    <n v="458"/>
    <x v="1"/>
    <n v="16"/>
    <n v="2"/>
    <s v="Life Sciences"/>
    <n v="1"/>
    <n v="1340"/>
    <n v="3"/>
    <s v="Male"/>
    <n v="74"/>
    <n v="3"/>
    <n v="1"/>
    <x v="1"/>
    <n v="3"/>
    <s v="Divorced"/>
    <n v="3544"/>
    <n v="8532"/>
    <n v="9"/>
    <s v="Y"/>
    <x v="1"/>
    <n v="16"/>
    <n v="3"/>
    <n v="2"/>
    <n v="80"/>
    <n v="1"/>
    <n v="6"/>
    <n v="0"/>
    <n v="3"/>
    <n v="4"/>
    <n v="2"/>
    <n v="0"/>
    <n v="0"/>
    <x v="1"/>
    <x v="0"/>
    <x v="0"/>
  </r>
  <r>
    <n v="34"/>
    <x v="1"/>
    <s v="Travel_Rarely"/>
    <n v="943"/>
    <x v="1"/>
    <n v="9"/>
    <n v="3"/>
    <s v="Life Sciences"/>
    <n v="1"/>
    <n v="1344"/>
    <n v="4"/>
    <s v="Male"/>
    <n v="86"/>
    <n v="3"/>
    <n v="3"/>
    <x v="4"/>
    <n v="4"/>
    <s v="Divorced"/>
    <n v="8500"/>
    <n v="5494"/>
    <n v="0"/>
    <s v="Y"/>
    <x v="1"/>
    <n v="11"/>
    <n v="3"/>
    <n v="4"/>
    <n v="80"/>
    <n v="1"/>
    <n v="10"/>
    <n v="0"/>
    <n v="2"/>
    <n v="9"/>
    <n v="7"/>
    <n v="1"/>
    <n v="6"/>
    <x v="1"/>
    <x v="1"/>
    <x v="2"/>
  </r>
  <r>
    <n v="40"/>
    <x v="1"/>
    <s v="Travel_Rarely"/>
    <n v="523"/>
    <x v="1"/>
    <n v="2"/>
    <n v="3"/>
    <s v="Life Sciences"/>
    <n v="1"/>
    <n v="1346"/>
    <n v="3"/>
    <s v="Male"/>
    <n v="98"/>
    <n v="3"/>
    <n v="2"/>
    <x v="1"/>
    <n v="4"/>
    <s v="Single"/>
    <n v="4661"/>
    <n v="22455"/>
    <n v="1"/>
    <s v="Y"/>
    <x v="1"/>
    <n v="13"/>
    <n v="3"/>
    <n v="3"/>
    <n v="80"/>
    <n v="0"/>
    <n v="9"/>
    <n v="4"/>
    <n v="3"/>
    <n v="9"/>
    <n v="8"/>
    <n v="8"/>
    <n v="8"/>
    <x v="1"/>
    <x v="0"/>
    <x v="0"/>
  </r>
  <r>
    <n v="41"/>
    <x v="1"/>
    <s v="Travel_Frequently"/>
    <n v="1018"/>
    <x v="0"/>
    <n v="1"/>
    <n v="3"/>
    <s v="Marketing"/>
    <n v="1"/>
    <n v="1349"/>
    <n v="3"/>
    <s v="Female"/>
    <n v="66"/>
    <n v="3"/>
    <n v="2"/>
    <x v="0"/>
    <n v="1"/>
    <s v="Divorced"/>
    <n v="4103"/>
    <n v="4297"/>
    <n v="0"/>
    <s v="Y"/>
    <x v="1"/>
    <n v="17"/>
    <n v="3"/>
    <n v="4"/>
    <n v="80"/>
    <n v="1"/>
    <n v="10"/>
    <n v="2"/>
    <n v="3"/>
    <n v="9"/>
    <n v="3"/>
    <n v="1"/>
    <n v="7"/>
    <x v="1"/>
    <x v="0"/>
    <x v="0"/>
  </r>
  <r>
    <n v="35"/>
    <x v="1"/>
    <s v="Travel_Frequently"/>
    <n v="482"/>
    <x v="1"/>
    <n v="4"/>
    <n v="4"/>
    <s v="Life Sciences"/>
    <n v="1"/>
    <n v="1350"/>
    <n v="3"/>
    <s v="Male"/>
    <n v="87"/>
    <n v="3"/>
    <n v="2"/>
    <x v="1"/>
    <n v="3"/>
    <s v="Single"/>
    <n v="4249"/>
    <n v="2690"/>
    <n v="1"/>
    <s v="Y"/>
    <x v="0"/>
    <n v="11"/>
    <n v="3"/>
    <n v="2"/>
    <n v="80"/>
    <n v="0"/>
    <n v="9"/>
    <n v="3"/>
    <n v="3"/>
    <n v="9"/>
    <n v="6"/>
    <n v="1"/>
    <n v="1"/>
    <x v="1"/>
    <x v="1"/>
    <x v="0"/>
  </r>
  <r>
    <n v="51"/>
    <x v="1"/>
    <s v="Travel_Rarely"/>
    <n v="770"/>
    <x v="2"/>
    <n v="5"/>
    <n v="3"/>
    <s v="Life Sciences"/>
    <n v="1"/>
    <n v="1352"/>
    <n v="3"/>
    <s v="Male"/>
    <n v="84"/>
    <n v="3"/>
    <n v="4"/>
    <x v="5"/>
    <n v="2"/>
    <s v="Divorced"/>
    <n v="14026"/>
    <n v="17588"/>
    <n v="1"/>
    <s v="Y"/>
    <x v="0"/>
    <n v="11"/>
    <n v="3"/>
    <n v="2"/>
    <n v="80"/>
    <n v="1"/>
    <n v="33"/>
    <n v="2"/>
    <n v="3"/>
    <n v="33"/>
    <n v="9"/>
    <n v="0"/>
    <n v="10"/>
    <x v="1"/>
    <x v="3"/>
    <x v="2"/>
  </r>
  <r>
    <n v="38"/>
    <x v="1"/>
    <s v="Travel_Rarely"/>
    <n v="1009"/>
    <x v="0"/>
    <n v="2"/>
    <n v="2"/>
    <s v="Life Sciences"/>
    <n v="1"/>
    <n v="1355"/>
    <n v="2"/>
    <s v="Female"/>
    <n v="31"/>
    <n v="3"/>
    <n v="2"/>
    <x v="0"/>
    <n v="1"/>
    <s v="Divorced"/>
    <n v="6893"/>
    <n v="19461"/>
    <n v="3"/>
    <s v="Y"/>
    <x v="1"/>
    <n v="15"/>
    <n v="3"/>
    <n v="4"/>
    <n v="80"/>
    <n v="1"/>
    <n v="11"/>
    <n v="3"/>
    <n v="3"/>
    <n v="7"/>
    <n v="7"/>
    <n v="1"/>
    <n v="7"/>
    <x v="1"/>
    <x v="1"/>
    <x v="0"/>
  </r>
  <r>
    <n v="34"/>
    <x v="1"/>
    <s v="Travel_Rarely"/>
    <n v="507"/>
    <x v="0"/>
    <n v="15"/>
    <n v="2"/>
    <s v="Medical"/>
    <n v="1"/>
    <n v="1356"/>
    <n v="3"/>
    <s v="Female"/>
    <n v="66"/>
    <n v="3"/>
    <n v="2"/>
    <x v="0"/>
    <n v="1"/>
    <s v="Single"/>
    <n v="6125"/>
    <n v="23553"/>
    <n v="1"/>
    <s v="Y"/>
    <x v="1"/>
    <n v="12"/>
    <n v="3"/>
    <n v="4"/>
    <n v="80"/>
    <n v="0"/>
    <n v="10"/>
    <n v="6"/>
    <n v="4"/>
    <n v="10"/>
    <n v="8"/>
    <n v="9"/>
    <n v="6"/>
    <x v="1"/>
    <x v="1"/>
    <x v="0"/>
  </r>
  <r>
    <n v="25"/>
    <x v="1"/>
    <s v="Travel_Rarely"/>
    <n v="882"/>
    <x v="1"/>
    <n v="19"/>
    <n v="1"/>
    <s v="Medical"/>
    <n v="1"/>
    <n v="1358"/>
    <n v="4"/>
    <s v="Male"/>
    <n v="67"/>
    <n v="3"/>
    <n v="1"/>
    <x v="2"/>
    <n v="4"/>
    <s v="Married"/>
    <n v="3669"/>
    <n v="9075"/>
    <n v="3"/>
    <s v="Y"/>
    <x v="1"/>
    <n v="11"/>
    <n v="3"/>
    <n v="3"/>
    <n v="80"/>
    <n v="3"/>
    <n v="7"/>
    <n v="6"/>
    <n v="2"/>
    <n v="3"/>
    <n v="2"/>
    <n v="1"/>
    <n v="2"/>
    <x v="1"/>
    <x v="2"/>
    <x v="0"/>
  </r>
  <r>
    <n v="58"/>
    <x v="0"/>
    <s v="Travel_Rarely"/>
    <n v="601"/>
    <x v="1"/>
    <n v="7"/>
    <n v="4"/>
    <s v="Medical"/>
    <n v="1"/>
    <n v="1360"/>
    <n v="3"/>
    <s v="Female"/>
    <n v="53"/>
    <n v="2"/>
    <n v="3"/>
    <x v="3"/>
    <n v="1"/>
    <s v="Married"/>
    <n v="10008"/>
    <n v="12023"/>
    <n v="7"/>
    <s v="Y"/>
    <x v="0"/>
    <n v="14"/>
    <n v="3"/>
    <n v="4"/>
    <n v="80"/>
    <n v="0"/>
    <n v="31"/>
    <n v="0"/>
    <n v="2"/>
    <n v="10"/>
    <n v="9"/>
    <n v="5"/>
    <n v="9"/>
    <x v="0"/>
    <x v="3"/>
    <x v="2"/>
  </r>
  <r>
    <n v="40"/>
    <x v="1"/>
    <s v="Travel_Rarely"/>
    <n v="329"/>
    <x v="1"/>
    <n v="1"/>
    <n v="4"/>
    <s v="Life Sciences"/>
    <n v="1"/>
    <n v="1361"/>
    <n v="2"/>
    <s v="Male"/>
    <n v="88"/>
    <n v="3"/>
    <n v="1"/>
    <x v="2"/>
    <n v="2"/>
    <s v="Married"/>
    <n v="2387"/>
    <n v="6762"/>
    <n v="3"/>
    <s v="Y"/>
    <x v="1"/>
    <n v="22"/>
    <n v="4"/>
    <n v="3"/>
    <n v="80"/>
    <n v="1"/>
    <n v="7"/>
    <n v="3"/>
    <n v="3"/>
    <n v="4"/>
    <n v="2"/>
    <n v="0"/>
    <n v="3"/>
    <x v="1"/>
    <x v="0"/>
    <x v="1"/>
  </r>
  <r>
    <n v="36"/>
    <x v="1"/>
    <s v="Travel_Frequently"/>
    <n v="607"/>
    <x v="0"/>
    <n v="7"/>
    <n v="3"/>
    <s v="Marketing"/>
    <n v="1"/>
    <n v="1362"/>
    <n v="1"/>
    <s v="Female"/>
    <n v="83"/>
    <n v="4"/>
    <n v="2"/>
    <x v="0"/>
    <n v="1"/>
    <s v="Married"/>
    <n v="4639"/>
    <n v="2261"/>
    <n v="2"/>
    <s v="Y"/>
    <x v="1"/>
    <n v="16"/>
    <n v="3"/>
    <n v="4"/>
    <n v="80"/>
    <n v="1"/>
    <n v="17"/>
    <n v="2"/>
    <n v="2"/>
    <n v="15"/>
    <n v="7"/>
    <n v="6"/>
    <n v="13"/>
    <x v="1"/>
    <x v="1"/>
    <x v="0"/>
  </r>
  <r>
    <n v="48"/>
    <x v="1"/>
    <s v="Travel_Rarely"/>
    <n v="855"/>
    <x v="1"/>
    <n v="4"/>
    <n v="3"/>
    <s v="Life Sciences"/>
    <n v="1"/>
    <n v="1363"/>
    <n v="4"/>
    <s v="Male"/>
    <n v="54"/>
    <n v="3"/>
    <n v="3"/>
    <x v="3"/>
    <n v="4"/>
    <s v="Single"/>
    <n v="7898"/>
    <n v="18706"/>
    <n v="1"/>
    <s v="Y"/>
    <x v="1"/>
    <n v="11"/>
    <n v="3"/>
    <n v="3"/>
    <n v="80"/>
    <n v="0"/>
    <n v="11"/>
    <n v="2"/>
    <n v="3"/>
    <n v="10"/>
    <n v="9"/>
    <n v="0"/>
    <n v="8"/>
    <x v="1"/>
    <x v="0"/>
    <x v="2"/>
  </r>
  <r>
    <n v="27"/>
    <x v="1"/>
    <s v="Travel_Rarely"/>
    <n v="1291"/>
    <x v="0"/>
    <n v="11"/>
    <n v="3"/>
    <s v="Medical"/>
    <n v="1"/>
    <n v="1364"/>
    <n v="3"/>
    <s v="Female"/>
    <n v="98"/>
    <n v="4"/>
    <n v="1"/>
    <x v="6"/>
    <n v="4"/>
    <s v="Married"/>
    <n v="2534"/>
    <n v="6527"/>
    <n v="8"/>
    <s v="Y"/>
    <x v="1"/>
    <n v="14"/>
    <n v="3"/>
    <n v="2"/>
    <n v="80"/>
    <n v="1"/>
    <n v="5"/>
    <n v="4"/>
    <n v="3"/>
    <n v="1"/>
    <n v="0"/>
    <n v="0"/>
    <n v="0"/>
    <x v="1"/>
    <x v="2"/>
    <x v="1"/>
  </r>
  <r>
    <n v="51"/>
    <x v="1"/>
    <s v="Travel_Rarely"/>
    <n v="1405"/>
    <x v="1"/>
    <n v="11"/>
    <n v="2"/>
    <s v="Technical Degree"/>
    <n v="1"/>
    <n v="1367"/>
    <n v="4"/>
    <s v="Female"/>
    <n v="82"/>
    <n v="2"/>
    <n v="4"/>
    <x v="3"/>
    <n v="2"/>
    <s v="Single"/>
    <n v="13142"/>
    <n v="24439"/>
    <n v="3"/>
    <s v="Y"/>
    <x v="1"/>
    <n v="16"/>
    <n v="3"/>
    <n v="2"/>
    <n v="80"/>
    <n v="0"/>
    <n v="29"/>
    <n v="1"/>
    <n v="2"/>
    <n v="5"/>
    <n v="2"/>
    <n v="0"/>
    <n v="3"/>
    <x v="1"/>
    <x v="3"/>
    <x v="2"/>
  </r>
  <r>
    <n v="18"/>
    <x v="1"/>
    <s v="Non-Travel"/>
    <n v="1124"/>
    <x v="1"/>
    <n v="1"/>
    <n v="3"/>
    <s v="Life Sciences"/>
    <n v="1"/>
    <n v="1368"/>
    <n v="4"/>
    <s v="Female"/>
    <n v="97"/>
    <n v="3"/>
    <n v="1"/>
    <x v="2"/>
    <n v="4"/>
    <s v="Single"/>
    <n v="1611"/>
    <n v="19305"/>
    <n v="1"/>
    <s v="Y"/>
    <x v="1"/>
    <n v="15"/>
    <n v="3"/>
    <n v="3"/>
    <n v="80"/>
    <n v="0"/>
    <n v="0"/>
    <n v="5"/>
    <n v="4"/>
    <n v="0"/>
    <n v="0"/>
    <n v="0"/>
    <n v="0"/>
    <x v="1"/>
    <x v="2"/>
    <x v="1"/>
  </r>
  <r>
    <n v="35"/>
    <x v="1"/>
    <s v="Travel_Rarely"/>
    <n v="817"/>
    <x v="1"/>
    <n v="1"/>
    <n v="3"/>
    <s v="Medical"/>
    <n v="1"/>
    <n v="1369"/>
    <n v="4"/>
    <s v="Female"/>
    <n v="60"/>
    <n v="2"/>
    <n v="2"/>
    <x v="2"/>
    <n v="4"/>
    <s v="Married"/>
    <n v="5363"/>
    <n v="10846"/>
    <n v="0"/>
    <s v="Y"/>
    <x v="1"/>
    <n v="12"/>
    <n v="3"/>
    <n v="2"/>
    <n v="80"/>
    <n v="1"/>
    <n v="10"/>
    <n v="0"/>
    <n v="3"/>
    <n v="9"/>
    <n v="7"/>
    <n v="0"/>
    <n v="0"/>
    <x v="1"/>
    <x v="1"/>
    <x v="0"/>
  </r>
  <r>
    <n v="27"/>
    <x v="1"/>
    <s v="Travel_Frequently"/>
    <n v="793"/>
    <x v="0"/>
    <n v="2"/>
    <n v="1"/>
    <s v="Life Sciences"/>
    <n v="1"/>
    <n v="1371"/>
    <n v="4"/>
    <s v="Male"/>
    <n v="43"/>
    <n v="1"/>
    <n v="2"/>
    <x v="0"/>
    <n v="4"/>
    <s v="Single"/>
    <n v="5071"/>
    <n v="20392"/>
    <n v="3"/>
    <s v="Y"/>
    <x v="1"/>
    <n v="20"/>
    <n v="4"/>
    <n v="2"/>
    <n v="80"/>
    <n v="0"/>
    <n v="8"/>
    <n v="3"/>
    <n v="3"/>
    <n v="6"/>
    <n v="2"/>
    <n v="0"/>
    <n v="0"/>
    <x v="1"/>
    <x v="2"/>
    <x v="0"/>
  </r>
  <r>
    <n v="55"/>
    <x v="0"/>
    <s v="Travel_Rarely"/>
    <n v="267"/>
    <x v="0"/>
    <n v="13"/>
    <n v="4"/>
    <s v="Marketing"/>
    <n v="1"/>
    <n v="1372"/>
    <n v="1"/>
    <s v="Male"/>
    <n v="85"/>
    <n v="4"/>
    <n v="4"/>
    <x v="0"/>
    <n v="3"/>
    <s v="Single"/>
    <n v="13695"/>
    <n v="9277"/>
    <n v="6"/>
    <s v="Y"/>
    <x v="0"/>
    <n v="17"/>
    <n v="3"/>
    <n v="3"/>
    <n v="80"/>
    <n v="0"/>
    <n v="24"/>
    <n v="2"/>
    <n v="2"/>
    <n v="19"/>
    <n v="7"/>
    <n v="3"/>
    <n v="8"/>
    <x v="0"/>
    <x v="3"/>
    <x v="2"/>
  </r>
  <r>
    <n v="56"/>
    <x v="1"/>
    <s v="Travel_Rarely"/>
    <n v="1369"/>
    <x v="1"/>
    <n v="23"/>
    <n v="3"/>
    <s v="Life Sciences"/>
    <n v="1"/>
    <n v="1373"/>
    <n v="4"/>
    <s v="Male"/>
    <n v="68"/>
    <n v="3"/>
    <n v="4"/>
    <x v="3"/>
    <n v="2"/>
    <s v="Married"/>
    <n v="13402"/>
    <n v="18235"/>
    <n v="4"/>
    <s v="Y"/>
    <x v="0"/>
    <n v="12"/>
    <n v="3"/>
    <n v="1"/>
    <n v="80"/>
    <n v="1"/>
    <n v="33"/>
    <n v="0"/>
    <n v="3"/>
    <n v="19"/>
    <n v="16"/>
    <n v="15"/>
    <n v="9"/>
    <x v="1"/>
    <x v="3"/>
    <x v="2"/>
  </r>
  <r>
    <n v="34"/>
    <x v="1"/>
    <s v="Non-Travel"/>
    <n v="999"/>
    <x v="1"/>
    <n v="26"/>
    <n v="1"/>
    <s v="Technical Degree"/>
    <n v="1"/>
    <n v="1374"/>
    <n v="1"/>
    <s v="Female"/>
    <n v="92"/>
    <n v="2"/>
    <n v="1"/>
    <x v="1"/>
    <n v="3"/>
    <s v="Divorced"/>
    <n v="2029"/>
    <n v="15891"/>
    <n v="1"/>
    <s v="Y"/>
    <x v="1"/>
    <n v="20"/>
    <n v="4"/>
    <n v="3"/>
    <n v="80"/>
    <n v="3"/>
    <n v="5"/>
    <n v="2"/>
    <n v="3"/>
    <n v="5"/>
    <n v="4"/>
    <n v="0"/>
    <n v="0"/>
    <x v="1"/>
    <x v="1"/>
    <x v="1"/>
  </r>
  <r>
    <n v="40"/>
    <x v="1"/>
    <s v="Travel_Rarely"/>
    <n v="1202"/>
    <x v="1"/>
    <n v="2"/>
    <n v="1"/>
    <s v="Medical"/>
    <n v="1"/>
    <n v="1375"/>
    <n v="2"/>
    <s v="Female"/>
    <n v="89"/>
    <n v="4"/>
    <n v="2"/>
    <x v="4"/>
    <n v="3"/>
    <s v="Divorced"/>
    <n v="6377"/>
    <n v="13888"/>
    <n v="5"/>
    <s v="Y"/>
    <x v="1"/>
    <n v="20"/>
    <n v="4"/>
    <n v="2"/>
    <n v="80"/>
    <n v="3"/>
    <n v="15"/>
    <n v="0"/>
    <n v="3"/>
    <n v="12"/>
    <n v="11"/>
    <n v="11"/>
    <n v="8"/>
    <x v="1"/>
    <x v="0"/>
    <x v="0"/>
  </r>
  <r>
    <n v="34"/>
    <x v="1"/>
    <s v="Travel_Rarely"/>
    <n v="285"/>
    <x v="1"/>
    <n v="29"/>
    <n v="3"/>
    <s v="Medical"/>
    <n v="1"/>
    <n v="1377"/>
    <n v="2"/>
    <s v="Male"/>
    <n v="86"/>
    <n v="3"/>
    <n v="2"/>
    <x v="2"/>
    <n v="3"/>
    <s v="Married"/>
    <n v="5429"/>
    <n v="17491"/>
    <n v="4"/>
    <s v="Y"/>
    <x v="1"/>
    <n v="13"/>
    <n v="3"/>
    <n v="1"/>
    <n v="80"/>
    <n v="2"/>
    <n v="10"/>
    <n v="1"/>
    <n v="3"/>
    <n v="8"/>
    <n v="7"/>
    <n v="7"/>
    <n v="7"/>
    <x v="1"/>
    <x v="1"/>
    <x v="0"/>
  </r>
  <r>
    <n v="31"/>
    <x v="0"/>
    <s v="Travel_Frequently"/>
    <n v="703"/>
    <x v="0"/>
    <n v="2"/>
    <n v="3"/>
    <s v="Life Sciences"/>
    <n v="1"/>
    <n v="1379"/>
    <n v="3"/>
    <s v="Female"/>
    <n v="90"/>
    <n v="2"/>
    <n v="1"/>
    <x v="6"/>
    <n v="4"/>
    <s v="Single"/>
    <n v="2785"/>
    <n v="11882"/>
    <n v="7"/>
    <s v="Y"/>
    <x v="1"/>
    <n v="14"/>
    <n v="3"/>
    <n v="3"/>
    <n v="80"/>
    <n v="0"/>
    <n v="3"/>
    <n v="3"/>
    <n v="4"/>
    <n v="1"/>
    <n v="0"/>
    <n v="0"/>
    <n v="0"/>
    <x v="0"/>
    <x v="1"/>
    <x v="1"/>
  </r>
  <r>
    <n v="35"/>
    <x v="0"/>
    <s v="Travel_Frequently"/>
    <n v="662"/>
    <x v="0"/>
    <n v="18"/>
    <n v="4"/>
    <s v="Marketing"/>
    <n v="1"/>
    <n v="1380"/>
    <n v="4"/>
    <s v="Female"/>
    <n v="67"/>
    <n v="3"/>
    <n v="2"/>
    <x v="0"/>
    <n v="3"/>
    <s v="Married"/>
    <n v="4614"/>
    <n v="23288"/>
    <n v="0"/>
    <s v="Y"/>
    <x v="0"/>
    <n v="18"/>
    <n v="3"/>
    <n v="3"/>
    <n v="80"/>
    <n v="1"/>
    <n v="5"/>
    <n v="0"/>
    <n v="2"/>
    <n v="4"/>
    <n v="2"/>
    <n v="3"/>
    <n v="2"/>
    <x v="0"/>
    <x v="1"/>
    <x v="0"/>
  </r>
  <r>
    <n v="38"/>
    <x v="1"/>
    <s v="Travel_Frequently"/>
    <n v="693"/>
    <x v="1"/>
    <n v="7"/>
    <n v="3"/>
    <s v="Life Sciences"/>
    <n v="1"/>
    <n v="1382"/>
    <n v="4"/>
    <s v="Male"/>
    <n v="57"/>
    <n v="4"/>
    <n v="1"/>
    <x v="1"/>
    <n v="3"/>
    <s v="Divorced"/>
    <n v="2610"/>
    <n v="15748"/>
    <n v="1"/>
    <s v="Y"/>
    <x v="1"/>
    <n v="11"/>
    <n v="3"/>
    <n v="4"/>
    <n v="80"/>
    <n v="3"/>
    <n v="4"/>
    <n v="2"/>
    <n v="3"/>
    <n v="4"/>
    <n v="2"/>
    <n v="0"/>
    <n v="3"/>
    <x v="1"/>
    <x v="1"/>
    <x v="1"/>
  </r>
  <r>
    <n v="34"/>
    <x v="1"/>
    <s v="Travel_Rarely"/>
    <n v="404"/>
    <x v="1"/>
    <n v="2"/>
    <n v="4"/>
    <s v="Technical Degree"/>
    <n v="1"/>
    <n v="1383"/>
    <n v="3"/>
    <s v="Female"/>
    <n v="98"/>
    <n v="3"/>
    <n v="2"/>
    <x v="4"/>
    <n v="4"/>
    <s v="Single"/>
    <n v="6687"/>
    <n v="6163"/>
    <n v="1"/>
    <s v="Y"/>
    <x v="1"/>
    <n v="11"/>
    <n v="3"/>
    <n v="4"/>
    <n v="80"/>
    <n v="0"/>
    <n v="14"/>
    <n v="2"/>
    <n v="4"/>
    <n v="14"/>
    <n v="11"/>
    <n v="4"/>
    <n v="11"/>
    <x v="1"/>
    <x v="1"/>
    <x v="0"/>
  </r>
  <r>
    <n v="28"/>
    <x v="1"/>
    <s v="Travel_Rarely"/>
    <n v="736"/>
    <x v="0"/>
    <n v="26"/>
    <n v="3"/>
    <s v="Life Sciences"/>
    <n v="1"/>
    <n v="1387"/>
    <n v="3"/>
    <s v="Male"/>
    <n v="48"/>
    <n v="2"/>
    <n v="2"/>
    <x v="0"/>
    <n v="1"/>
    <s v="Married"/>
    <n v="4724"/>
    <n v="24232"/>
    <n v="1"/>
    <s v="Y"/>
    <x v="1"/>
    <n v="11"/>
    <n v="3"/>
    <n v="3"/>
    <n v="80"/>
    <n v="1"/>
    <n v="5"/>
    <n v="0"/>
    <n v="3"/>
    <n v="5"/>
    <n v="3"/>
    <n v="0"/>
    <n v="4"/>
    <x v="1"/>
    <x v="2"/>
    <x v="0"/>
  </r>
  <r>
    <n v="31"/>
    <x v="0"/>
    <s v="Travel_Rarely"/>
    <n v="330"/>
    <x v="1"/>
    <n v="22"/>
    <n v="4"/>
    <s v="Medical"/>
    <n v="1"/>
    <n v="1389"/>
    <n v="4"/>
    <s v="Male"/>
    <n v="98"/>
    <n v="3"/>
    <n v="2"/>
    <x v="3"/>
    <n v="3"/>
    <s v="Married"/>
    <n v="6179"/>
    <n v="21057"/>
    <n v="1"/>
    <s v="Y"/>
    <x v="0"/>
    <n v="15"/>
    <n v="3"/>
    <n v="4"/>
    <n v="80"/>
    <n v="2"/>
    <n v="10"/>
    <n v="3"/>
    <n v="2"/>
    <n v="10"/>
    <n v="2"/>
    <n v="6"/>
    <n v="7"/>
    <x v="0"/>
    <x v="1"/>
    <x v="0"/>
  </r>
  <r>
    <n v="39"/>
    <x v="1"/>
    <s v="Travel_Rarely"/>
    <n v="1498"/>
    <x v="0"/>
    <n v="21"/>
    <n v="4"/>
    <s v="Life Sciences"/>
    <n v="1"/>
    <n v="1390"/>
    <n v="1"/>
    <s v="Male"/>
    <n v="44"/>
    <n v="2"/>
    <n v="2"/>
    <x v="0"/>
    <n v="4"/>
    <s v="Married"/>
    <n v="6120"/>
    <n v="3567"/>
    <n v="3"/>
    <s v="Y"/>
    <x v="0"/>
    <n v="12"/>
    <n v="3"/>
    <n v="4"/>
    <n v="80"/>
    <n v="2"/>
    <n v="8"/>
    <n v="2"/>
    <n v="4"/>
    <n v="5"/>
    <n v="4"/>
    <n v="1"/>
    <n v="4"/>
    <x v="1"/>
    <x v="1"/>
    <x v="0"/>
  </r>
  <r>
    <n v="51"/>
    <x v="1"/>
    <s v="Travel_Frequently"/>
    <n v="541"/>
    <x v="0"/>
    <n v="2"/>
    <n v="3"/>
    <s v="Marketing"/>
    <n v="1"/>
    <n v="1391"/>
    <n v="2"/>
    <s v="Male"/>
    <n v="52"/>
    <n v="3"/>
    <n v="3"/>
    <x v="0"/>
    <n v="2"/>
    <s v="Married"/>
    <n v="10596"/>
    <n v="15395"/>
    <n v="2"/>
    <s v="Y"/>
    <x v="1"/>
    <n v="11"/>
    <n v="3"/>
    <n v="2"/>
    <n v="80"/>
    <n v="0"/>
    <n v="14"/>
    <n v="5"/>
    <n v="3"/>
    <n v="4"/>
    <n v="2"/>
    <n v="3"/>
    <n v="2"/>
    <x v="1"/>
    <x v="3"/>
    <x v="2"/>
  </r>
  <r>
    <n v="41"/>
    <x v="1"/>
    <s v="Travel_Frequently"/>
    <n v="1200"/>
    <x v="1"/>
    <n v="22"/>
    <n v="3"/>
    <s v="Life Sciences"/>
    <n v="1"/>
    <n v="1392"/>
    <n v="4"/>
    <s v="Female"/>
    <n v="75"/>
    <n v="3"/>
    <n v="2"/>
    <x v="1"/>
    <n v="4"/>
    <s v="Divorced"/>
    <n v="5467"/>
    <n v="13953"/>
    <n v="3"/>
    <s v="Y"/>
    <x v="0"/>
    <n v="14"/>
    <n v="3"/>
    <n v="1"/>
    <n v="80"/>
    <n v="2"/>
    <n v="12"/>
    <n v="4"/>
    <n v="2"/>
    <n v="6"/>
    <n v="2"/>
    <n v="3"/>
    <n v="3"/>
    <x v="1"/>
    <x v="0"/>
    <x v="0"/>
  </r>
  <r>
    <n v="37"/>
    <x v="1"/>
    <s v="Travel_Rarely"/>
    <n v="1439"/>
    <x v="1"/>
    <n v="4"/>
    <n v="1"/>
    <s v="Life Sciences"/>
    <n v="1"/>
    <n v="1394"/>
    <n v="3"/>
    <s v="Male"/>
    <n v="54"/>
    <n v="3"/>
    <n v="1"/>
    <x v="1"/>
    <n v="3"/>
    <s v="Married"/>
    <n v="2996"/>
    <n v="5182"/>
    <n v="7"/>
    <s v="Y"/>
    <x v="0"/>
    <n v="15"/>
    <n v="3"/>
    <n v="4"/>
    <n v="80"/>
    <n v="0"/>
    <n v="8"/>
    <n v="2"/>
    <n v="3"/>
    <n v="6"/>
    <n v="4"/>
    <n v="1"/>
    <n v="3"/>
    <x v="1"/>
    <x v="1"/>
    <x v="1"/>
  </r>
  <r>
    <n v="33"/>
    <x v="1"/>
    <s v="Travel_Frequently"/>
    <n v="1111"/>
    <x v="0"/>
    <n v="5"/>
    <n v="1"/>
    <s v="Life Sciences"/>
    <n v="1"/>
    <n v="1395"/>
    <n v="2"/>
    <s v="Male"/>
    <n v="61"/>
    <n v="3"/>
    <n v="2"/>
    <x v="0"/>
    <n v="4"/>
    <s v="Married"/>
    <n v="9998"/>
    <n v="19293"/>
    <n v="6"/>
    <s v="Y"/>
    <x v="1"/>
    <n v="13"/>
    <n v="3"/>
    <n v="1"/>
    <n v="80"/>
    <n v="0"/>
    <n v="8"/>
    <n v="2"/>
    <n v="4"/>
    <n v="5"/>
    <n v="4"/>
    <n v="1"/>
    <n v="2"/>
    <x v="1"/>
    <x v="1"/>
    <x v="2"/>
  </r>
  <r>
    <n v="32"/>
    <x v="1"/>
    <s v="Travel_Rarely"/>
    <n v="499"/>
    <x v="0"/>
    <n v="2"/>
    <n v="1"/>
    <s v="Marketing"/>
    <n v="1"/>
    <n v="1396"/>
    <n v="3"/>
    <s v="Male"/>
    <n v="36"/>
    <n v="3"/>
    <n v="2"/>
    <x v="0"/>
    <n v="2"/>
    <s v="Married"/>
    <n v="4078"/>
    <n v="20497"/>
    <n v="0"/>
    <s v="Y"/>
    <x v="0"/>
    <n v="13"/>
    <n v="3"/>
    <n v="1"/>
    <n v="80"/>
    <n v="3"/>
    <n v="4"/>
    <n v="3"/>
    <n v="2"/>
    <n v="3"/>
    <n v="2"/>
    <n v="1"/>
    <n v="2"/>
    <x v="1"/>
    <x v="1"/>
    <x v="0"/>
  </r>
  <r>
    <n v="39"/>
    <x v="1"/>
    <s v="Non-Travel"/>
    <n v="1485"/>
    <x v="1"/>
    <n v="25"/>
    <n v="2"/>
    <s v="Life Sciences"/>
    <n v="1"/>
    <n v="1397"/>
    <n v="3"/>
    <s v="Male"/>
    <n v="71"/>
    <n v="3"/>
    <n v="3"/>
    <x v="4"/>
    <n v="3"/>
    <s v="Married"/>
    <n v="10920"/>
    <n v="3449"/>
    <n v="3"/>
    <s v="Y"/>
    <x v="1"/>
    <n v="21"/>
    <n v="4"/>
    <n v="2"/>
    <n v="80"/>
    <n v="1"/>
    <n v="13"/>
    <n v="2"/>
    <n v="3"/>
    <n v="6"/>
    <n v="4"/>
    <n v="0"/>
    <n v="5"/>
    <x v="1"/>
    <x v="1"/>
    <x v="2"/>
  </r>
  <r>
    <n v="25"/>
    <x v="1"/>
    <s v="Travel_Rarely"/>
    <n v="1372"/>
    <x v="0"/>
    <n v="18"/>
    <n v="1"/>
    <s v="Life Sciences"/>
    <n v="1"/>
    <n v="1399"/>
    <n v="1"/>
    <s v="Male"/>
    <n v="93"/>
    <n v="4"/>
    <n v="2"/>
    <x v="0"/>
    <n v="3"/>
    <s v="Married"/>
    <n v="6232"/>
    <n v="12477"/>
    <n v="2"/>
    <s v="Y"/>
    <x v="1"/>
    <n v="11"/>
    <n v="3"/>
    <n v="2"/>
    <n v="80"/>
    <n v="0"/>
    <n v="6"/>
    <n v="3"/>
    <n v="2"/>
    <n v="3"/>
    <n v="2"/>
    <n v="1"/>
    <n v="2"/>
    <x v="1"/>
    <x v="2"/>
    <x v="0"/>
  </r>
  <r>
    <n v="52"/>
    <x v="1"/>
    <s v="Travel_Frequently"/>
    <n v="322"/>
    <x v="1"/>
    <n v="28"/>
    <n v="2"/>
    <s v="Medical"/>
    <n v="1"/>
    <n v="1401"/>
    <n v="4"/>
    <s v="Female"/>
    <n v="59"/>
    <n v="4"/>
    <n v="4"/>
    <x v="3"/>
    <n v="3"/>
    <s v="Married"/>
    <n v="13247"/>
    <n v="9731"/>
    <n v="2"/>
    <s v="Y"/>
    <x v="0"/>
    <n v="11"/>
    <n v="3"/>
    <n v="2"/>
    <n v="80"/>
    <n v="1"/>
    <n v="24"/>
    <n v="3"/>
    <n v="2"/>
    <n v="5"/>
    <n v="3"/>
    <n v="0"/>
    <n v="2"/>
    <x v="1"/>
    <x v="3"/>
    <x v="2"/>
  </r>
  <r>
    <n v="43"/>
    <x v="1"/>
    <s v="Travel_Rarely"/>
    <n v="930"/>
    <x v="1"/>
    <n v="6"/>
    <n v="3"/>
    <s v="Medical"/>
    <n v="1"/>
    <n v="1402"/>
    <n v="1"/>
    <s v="Female"/>
    <n v="73"/>
    <n v="2"/>
    <n v="2"/>
    <x v="1"/>
    <n v="3"/>
    <s v="Single"/>
    <n v="4081"/>
    <n v="20003"/>
    <n v="1"/>
    <s v="Y"/>
    <x v="0"/>
    <n v="14"/>
    <n v="3"/>
    <n v="1"/>
    <n v="80"/>
    <n v="0"/>
    <n v="20"/>
    <n v="3"/>
    <n v="1"/>
    <n v="20"/>
    <n v="7"/>
    <n v="1"/>
    <n v="8"/>
    <x v="1"/>
    <x v="0"/>
    <x v="0"/>
  </r>
  <r>
    <n v="27"/>
    <x v="1"/>
    <s v="Travel_Rarely"/>
    <n v="205"/>
    <x v="0"/>
    <n v="10"/>
    <n v="3"/>
    <s v="Marketing"/>
    <n v="1"/>
    <n v="1403"/>
    <n v="4"/>
    <s v="Female"/>
    <n v="98"/>
    <n v="2"/>
    <n v="2"/>
    <x v="0"/>
    <n v="4"/>
    <s v="Married"/>
    <n v="5769"/>
    <n v="7100"/>
    <n v="1"/>
    <s v="Y"/>
    <x v="0"/>
    <n v="11"/>
    <n v="3"/>
    <n v="4"/>
    <n v="80"/>
    <n v="0"/>
    <n v="6"/>
    <n v="3"/>
    <n v="3"/>
    <n v="6"/>
    <n v="2"/>
    <n v="4"/>
    <n v="4"/>
    <x v="1"/>
    <x v="2"/>
    <x v="0"/>
  </r>
  <r>
    <n v="27"/>
    <x v="0"/>
    <s v="Travel_Rarely"/>
    <n v="135"/>
    <x v="1"/>
    <n v="17"/>
    <n v="4"/>
    <s v="Life Sciences"/>
    <n v="1"/>
    <n v="1405"/>
    <n v="4"/>
    <s v="Female"/>
    <n v="51"/>
    <n v="3"/>
    <n v="1"/>
    <x v="1"/>
    <n v="3"/>
    <s v="Single"/>
    <n v="2394"/>
    <n v="25681"/>
    <n v="1"/>
    <s v="Y"/>
    <x v="0"/>
    <n v="13"/>
    <n v="3"/>
    <n v="4"/>
    <n v="80"/>
    <n v="0"/>
    <n v="8"/>
    <n v="2"/>
    <n v="3"/>
    <n v="8"/>
    <n v="2"/>
    <n v="7"/>
    <n v="7"/>
    <x v="0"/>
    <x v="2"/>
    <x v="1"/>
  </r>
  <r>
    <n v="26"/>
    <x v="1"/>
    <s v="Travel_Rarely"/>
    <n v="683"/>
    <x v="1"/>
    <n v="2"/>
    <n v="1"/>
    <s v="Medical"/>
    <n v="1"/>
    <n v="1407"/>
    <n v="1"/>
    <s v="Male"/>
    <n v="36"/>
    <n v="2"/>
    <n v="1"/>
    <x v="1"/>
    <n v="4"/>
    <s v="Single"/>
    <n v="3904"/>
    <n v="4050"/>
    <n v="0"/>
    <s v="Y"/>
    <x v="1"/>
    <n v="12"/>
    <n v="3"/>
    <n v="4"/>
    <n v="80"/>
    <n v="0"/>
    <n v="5"/>
    <n v="2"/>
    <n v="3"/>
    <n v="4"/>
    <n v="3"/>
    <n v="1"/>
    <n v="1"/>
    <x v="1"/>
    <x v="2"/>
    <x v="0"/>
  </r>
  <r>
    <n v="42"/>
    <x v="1"/>
    <s v="Travel_Rarely"/>
    <n v="1147"/>
    <x v="2"/>
    <n v="10"/>
    <n v="3"/>
    <s v="Human Resources"/>
    <n v="1"/>
    <n v="1408"/>
    <n v="3"/>
    <s v="Female"/>
    <n v="31"/>
    <n v="3"/>
    <n v="4"/>
    <x v="5"/>
    <n v="1"/>
    <s v="Married"/>
    <n v="16799"/>
    <n v="16616"/>
    <n v="0"/>
    <s v="Y"/>
    <x v="1"/>
    <n v="14"/>
    <n v="3"/>
    <n v="3"/>
    <n v="80"/>
    <n v="1"/>
    <n v="21"/>
    <n v="5"/>
    <n v="3"/>
    <n v="20"/>
    <n v="7"/>
    <n v="0"/>
    <n v="9"/>
    <x v="1"/>
    <x v="0"/>
    <x v="2"/>
  </r>
  <r>
    <n v="52"/>
    <x v="1"/>
    <s v="Travel_Rarely"/>
    <n v="258"/>
    <x v="1"/>
    <n v="8"/>
    <n v="4"/>
    <s v="Other"/>
    <n v="1"/>
    <n v="1409"/>
    <n v="3"/>
    <s v="Female"/>
    <n v="54"/>
    <n v="3"/>
    <n v="1"/>
    <x v="2"/>
    <n v="1"/>
    <s v="Married"/>
    <n v="2950"/>
    <n v="17363"/>
    <n v="9"/>
    <s v="Y"/>
    <x v="1"/>
    <n v="13"/>
    <n v="3"/>
    <n v="3"/>
    <n v="80"/>
    <n v="0"/>
    <n v="12"/>
    <n v="2"/>
    <n v="1"/>
    <n v="5"/>
    <n v="4"/>
    <n v="0"/>
    <n v="4"/>
    <x v="1"/>
    <x v="3"/>
    <x v="1"/>
  </r>
  <r>
    <n v="37"/>
    <x v="1"/>
    <s v="Travel_Rarely"/>
    <n v="1462"/>
    <x v="1"/>
    <n v="11"/>
    <n v="3"/>
    <s v="Medical"/>
    <n v="1"/>
    <n v="1411"/>
    <n v="1"/>
    <s v="Female"/>
    <n v="94"/>
    <n v="3"/>
    <n v="1"/>
    <x v="2"/>
    <n v="3"/>
    <s v="Single"/>
    <n v="3629"/>
    <n v="19106"/>
    <n v="4"/>
    <s v="Y"/>
    <x v="1"/>
    <n v="18"/>
    <n v="3"/>
    <n v="1"/>
    <n v="80"/>
    <n v="0"/>
    <n v="8"/>
    <n v="6"/>
    <n v="3"/>
    <n v="3"/>
    <n v="2"/>
    <n v="0"/>
    <n v="2"/>
    <x v="1"/>
    <x v="1"/>
    <x v="0"/>
  </r>
  <r>
    <n v="35"/>
    <x v="1"/>
    <s v="Travel_Frequently"/>
    <n v="200"/>
    <x v="1"/>
    <n v="18"/>
    <n v="2"/>
    <s v="Life Sciences"/>
    <n v="1"/>
    <n v="1412"/>
    <n v="3"/>
    <s v="Male"/>
    <n v="60"/>
    <n v="3"/>
    <n v="3"/>
    <x v="3"/>
    <n v="4"/>
    <s v="Single"/>
    <n v="9362"/>
    <n v="19944"/>
    <n v="2"/>
    <s v="Y"/>
    <x v="1"/>
    <n v="11"/>
    <n v="3"/>
    <n v="3"/>
    <n v="80"/>
    <n v="0"/>
    <n v="10"/>
    <n v="2"/>
    <n v="3"/>
    <n v="2"/>
    <n v="2"/>
    <n v="2"/>
    <n v="2"/>
    <x v="1"/>
    <x v="1"/>
    <x v="2"/>
  </r>
  <r>
    <n v="25"/>
    <x v="1"/>
    <s v="Travel_Rarely"/>
    <n v="949"/>
    <x v="1"/>
    <n v="1"/>
    <n v="3"/>
    <s v="Technical Degree"/>
    <n v="1"/>
    <n v="1415"/>
    <n v="1"/>
    <s v="Male"/>
    <n v="81"/>
    <n v="3"/>
    <n v="1"/>
    <x v="2"/>
    <n v="4"/>
    <s v="Married"/>
    <n v="3229"/>
    <n v="4910"/>
    <n v="4"/>
    <s v="Y"/>
    <x v="1"/>
    <n v="11"/>
    <n v="3"/>
    <n v="2"/>
    <n v="80"/>
    <n v="1"/>
    <n v="7"/>
    <n v="2"/>
    <n v="2"/>
    <n v="3"/>
    <n v="2"/>
    <n v="0"/>
    <n v="2"/>
    <x v="1"/>
    <x v="2"/>
    <x v="0"/>
  </r>
  <r>
    <n v="26"/>
    <x v="1"/>
    <s v="Travel_Rarely"/>
    <n v="652"/>
    <x v="1"/>
    <n v="7"/>
    <n v="3"/>
    <s v="Other"/>
    <n v="1"/>
    <n v="1417"/>
    <n v="3"/>
    <s v="Male"/>
    <n v="100"/>
    <n v="4"/>
    <n v="1"/>
    <x v="2"/>
    <n v="1"/>
    <s v="Single"/>
    <n v="3578"/>
    <n v="23577"/>
    <n v="0"/>
    <s v="Y"/>
    <x v="1"/>
    <n v="12"/>
    <n v="3"/>
    <n v="4"/>
    <n v="80"/>
    <n v="0"/>
    <n v="8"/>
    <n v="2"/>
    <n v="3"/>
    <n v="7"/>
    <n v="7"/>
    <n v="0"/>
    <n v="7"/>
    <x v="1"/>
    <x v="2"/>
    <x v="0"/>
  </r>
  <r>
    <n v="29"/>
    <x v="1"/>
    <s v="Travel_Rarely"/>
    <n v="332"/>
    <x v="2"/>
    <n v="17"/>
    <n v="3"/>
    <s v="Other"/>
    <n v="1"/>
    <n v="1419"/>
    <n v="2"/>
    <s v="Male"/>
    <n v="51"/>
    <n v="2"/>
    <n v="3"/>
    <x v="8"/>
    <n v="1"/>
    <s v="Single"/>
    <n v="7988"/>
    <n v="9769"/>
    <n v="1"/>
    <s v="Y"/>
    <x v="1"/>
    <n v="13"/>
    <n v="3"/>
    <n v="1"/>
    <n v="80"/>
    <n v="0"/>
    <n v="10"/>
    <n v="3"/>
    <n v="2"/>
    <n v="10"/>
    <n v="9"/>
    <n v="0"/>
    <n v="9"/>
    <x v="1"/>
    <x v="2"/>
    <x v="2"/>
  </r>
  <r>
    <n v="49"/>
    <x v="0"/>
    <s v="Travel_Frequently"/>
    <n v="1475"/>
    <x v="1"/>
    <n v="28"/>
    <n v="2"/>
    <s v="Life Sciences"/>
    <n v="1"/>
    <n v="1420"/>
    <n v="1"/>
    <s v="Male"/>
    <n v="97"/>
    <n v="2"/>
    <n v="2"/>
    <x v="2"/>
    <n v="1"/>
    <s v="Single"/>
    <n v="4284"/>
    <n v="22710"/>
    <n v="3"/>
    <s v="Y"/>
    <x v="1"/>
    <n v="20"/>
    <n v="4"/>
    <n v="1"/>
    <n v="80"/>
    <n v="0"/>
    <n v="20"/>
    <n v="2"/>
    <n v="3"/>
    <n v="4"/>
    <n v="3"/>
    <n v="1"/>
    <n v="3"/>
    <x v="0"/>
    <x v="0"/>
    <x v="0"/>
  </r>
  <r>
    <n v="29"/>
    <x v="0"/>
    <s v="Travel_Frequently"/>
    <n v="337"/>
    <x v="1"/>
    <n v="14"/>
    <n v="1"/>
    <s v="Other"/>
    <n v="1"/>
    <n v="1421"/>
    <n v="3"/>
    <s v="Female"/>
    <n v="84"/>
    <n v="3"/>
    <n v="3"/>
    <x v="4"/>
    <n v="4"/>
    <s v="Single"/>
    <n v="7553"/>
    <n v="22930"/>
    <n v="0"/>
    <s v="Y"/>
    <x v="0"/>
    <n v="12"/>
    <n v="3"/>
    <n v="1"/>
    <n v="80"/>
    <n v="0"/>
    <n v="9"/>
    <n v="1"/>
    <n v="3"/>
    <n v="8"/>
    <n v="7"/>
    <n v="7"/>
    <n v="7"/>
    <x v="0"/>
    <x v="2"/>
    <x v="2"/>
  </r>
  <r>
    <n v="54"/>
    <x v="1"/>
    <s v="Travel_Rarely"/>
    <n v="971"/>
    <x v="1"/>
    <n v="1"/>
    <n v="3"/>
    <s v="Medical"/>
    <n v="1"/>
    <n v="1422"/>
    <n v="4"/>
    <s v="Female"/>
    <n v="54"/>
    <n v="3"/>
    <n v="4"/>
    <x v="7"/>
    <n v="4"/>
    <s v="Single"/>
    <n v="17328"/>
    <n v="5652"/>
    <n v="6"/>
    <s v="Y"/>
    <x v="1"/>
    <n v="19"/>
    <n v="3"/>
    <n v="4"/>
    <n v="80"/>
    <n v="0"/>
    <n v="29"/>
    <n v="3"/>
    <n v="2"/>
    <n v="20"/>
    <n v="7"/>
    <n v="12"/>
    <n v="7"/>
    <x v="1"/>
    <x v="3"/>
    <x v="2"/>
  </r>
  <r>
    <n v="58"/>
    <x v="1"/>
    <s v="Travel_Rarely"/>
    <n v="1055"/>
    <x v="1"/>
    <n v="1"/>
    <n v="3"/>
    <s v="Medical"/>
    <n v="1"/>
    <n v="1423"/>
    <n v="4"/>
    <s v="Female"/>
    <n v="76"/>
    <n v="3"/>
    <n v="5"/>
    <x v="7"/>
    <n v="1"/>
    <s v="Married"/>
    <n v="19701"/>
    <n v="22456"/>
    <n v="3"/>
    <s v="Y"/>
    <x v="0"/>
    <n v="21"/>
    <n v="4"/>
    <n v="3"/>
    <n v="80"/>
    <n v="1"/>
    <n v="32"/>
    <n v="3"/>
    <n v="3"/>
    <n v="9"/>
    <n v="8"/>
    <n v="1"/>
    <n v="5"/>
    <x v="1"/>
    <x v="3"/>
    <x v="2"/>
  </r>
  <r>
    <n v="55"/>
    <x v="1"/>
    <s v="Travel_Rarely"/>
    <n v="1136"/>
    <x v="1"/>
    <n v="1"/>
    <n v="4"/>
    <s v="Medical"/>
    <n v="1"/>
    <n v="1424"/>
    <n v="2"/>
    <s v="Male"/>
    <n v="81"/>
    <n v="4"/>
    <n v="4"/>
    <x v="7"/>
    <n v="4"/>
    <s v="Divorced"/>
    <n v="14732"/>
    <n v="12414"/>
    <n v="2"/>
    <s v="Y"/>
    <x v="1"/>
    <n v="13"/>
    <n v="3"/>
    <n v="4"/>
    <n v="80"/>
    <n v="2"/>
    <n v="31"/>
    <n v="4"/>
    <n v="4"/>
    <n v="7"/>
    <n v="7"/>
    <n v="0"/>
    <n v="0"/>
    <x v="1"/>
    <x v="3"/>
    <x v="2"/>
  </r>
  <r>
    <n v="36"/>
    <x v="1"/>
    <s v="Travel_Rarely"/>
    <n v="1174"/>
    <x v="0"/>
    <n v="3"/>
    <n v="4"/>
    <s v="Marketing"/>
    <n v="1"/>
    <n v="1425"/>
    <n v="1"/>
    <s v="Female"/>
    <n v="99"/>
    <n v="3"/>
    <n v="2"/>
    <x v="0"/>
    <n v="2"/>
    <s v="Single"/>
    <n v="9278"/>
    <n v="20763"/>
    <n v="3"/>
    <s v="Y"/>
    <x v="0"/>
    <n v="16"/>
    <n v="3"/>
    <n v="4"/>
    <n v="80"/>
    <n v="0"/>
    <n v="15"/>
    <n v="3"/>
    <n v="3"/>
    <n v="5"/>
    <n v="4"/>
    <n v="0"/>
    <n v="1"/>
    <x v="1"/>
    <x v="1"/>
    <x v="2"/>
  </r>
  <r>
    <n v="31"/>
    <x v="0"/>
    <s v="Travel_Frequently"/>
    <n v="667"/>
    <x v="0"/>
    <n v="1"/>
    <n v="4"/>
    <s v="Life Sciences"/>
    <n v="1"/>
    <n v="1427"/>
    <n v="2"/>
    <s v="Female"/>
    <n v="50"/>
    <n v="1"/>
    <n v="1"/>
    <x v="6"/>
    <n v="3"/>
    <s v="Single"/>
    <n v="1359"/>
    <n v="16154"/>
    <n v="1"/>
    <s v="Y"/>
    <x v="1"/>
    <n v="12"/>
    <n v="3"/>
    <n v="2"/>
    <n v="80"/>
    <n v="0"/>
    <n v="1"/>
    <n v="3"/>
    <n v="3"/>
    <n v="1"/>
    <n v="0"/>
    <n v="0"/>
    <n v="0"/>
    <x v="0"/>
    <x v="1"/>
    <x v="1"/>
  </r>
  <r>
    <n v="30"/>
    <x v="1"/>
    <s v="Travel_Rarely"/>
    <n v="855"/>
    <x v="0"/>
    <n v="7"/>
    <n v="4"/>
    <s v="Marketing"/>
    <n v="1"/>
    <n v="1428"/>
    <n v="4"/>
    <s v="Female"/>
    <n v="73"/>
    <n v="3"/>
    <n v="2"/>
    <x v="0"/>
    <n v="1"/>
    <s v="Divorced"/>
    <n v="4779"/>
    <n v="12761"/>
    <n v="7"/>
    <s v="Y"/>
    <x v="1"/>
    <n v="14"/>
    <n v="3"/>
    <n v="2"/>
    <n v="80"/>
    <n v="2"/>
    <n v="8"/>
    <n v="3"/>
    <n v="3"/>
    <n v="3"/>
    <n v="2"/>
    <n v="0"/>
    <n v="2"/>
    <x v="1"/>
    <x v="1"/>
    <x v="0"/>
  </r>
  <r>
    <n v="31"/>
    <x v="1"/>
    <s v="Travel_Rarely"/>
    <n v="182"/>
    <x v="1"/>
    <n v="8"/>
    <n v="5"/>
    <s v="Life Sciences"/>
    <n v="1"/>
    <n v="1430"/>
    <n v="1"/>
    <s v="Female"/>
    <n v="93"/>
    <n v="3"/>
    <n v="4"/>
    <x v="7"/>
    <n v="2"/>
    <s v="Single"/>
    <n v="16422"/>
    <n v="8847"/>
    <n v="3"/>
    <s v="Y"/>
    <x v="1"/>
    <n v="11"/>
    <n v="3"/>
    <n v="3"/>
    <n v="80"/>
    <n v="0"/>
    <n v="9"/>
    <n v="3"/>
    <n v="4"/>
    <n v="3"/>
    <n v="2"/>
    <n v="1"/>
    <n v="0"/>
    <x v="1"/>
    <x v="1"/>
    <x v="2"/>
  </r>
  <r>
    <n v="34"/>
    <x v="1"/>
    <s v="Travel_Frequently"/>
    <n v="560"/>
    <x v="1"/>
    <n v="1"/>
    <n v="4"/>
    <s v="Other"/>
    <n v="1"/>
    <n v="1431"/>
    <n v="4"/>
    <s v="Male"/>
    <n v="91"/>
    <n v="3"/>
    <n v="1"/>
    <x v="1"/>
    <n v="1"/>
    <s v="Divorced"/>
    <n v="2996"/>
    <n v="20284"/>
    <n v="5"/>
    <s v="Y"/>
    <x v="1"/>
    <n v="14"/>
    <n v="3"/>
    <n v="3"/>
    <n v="80"/>
    <n v="2"/>
    <n v="10"/>
    <n v="2"/>
    <n v="3"/>
    <n v="4"/>
    <n v="3"/>
    <n v="1"/>
    <n v="3"/>
    <x v="1"/>
    <x v="1"/>
    <x v="1"/>
  </r>
  <r>
    <n v="31"/>
    <x v="0"/>
    <s v="Travel_Rarely"/>
    <n v="202"/>
    <x v="1"/>
    <n v="8"/>
    <n v="3"/>
    <s v="Life Sciences"/>
    <n v="1"/>
    <n v="1433"/>
    <n v="1"/>
    <s v="Female"/>
    <n v="34"/>
    <n v="2"/>
    <n v="1"/>
    <x v="1"/>
    <n v="2"/>
    <s v="Single"/>
    <n v="1261"/>
    <n v="22262"/>
    <n v="1"/>
    <s v="Y"/>
    <x v="1"/>
    <n v="12"/>
    <n v="3"/>
    <n v="3"/>
    <n v="80"/>
    <n v="0"/>
    <n v="1"/>
    <n v="3"/>
    <n v="4"/>
    <n v="1"/>
    <n v="0"/>
    <n v="0"/>
    <n v="0"/>
    <x v="0"/>
    <x v="1"/>
    <x v="1"/>
  </r>
  <r>
    <n v="27"/>
    <x v="1"/>
    <s v="Travel_Rarely"/>
    <n v="1377"/>
    <x v="1"/>
    <n v="11"/>
    <n v="1"/>
    <s v="Life Sciences"/>
    <n v="1"/>
    <n v="1434"/>
    <n v="2"/>
    <s v="Male"/>
    <n v="91"/>
    <n v="3"/>
    <n v="1"/>
    <x v="2"/>
    <n v="1"/>
    <s v="Married"/>
    <n v="2099"/>
    <n v="7679"/>
    <n v="0"/>
    <s v="Y"/>
    <x v="1"/>
    <n v="14"/>
    <n v="3"/>
    <n v="2"/>
    <n v="80"/>
    <n v="0"/>
    <n v="6"/>
    <n v="3"/>
    <n v="4"/>
    <n v="5"/>
    <n v="0"/>
    <n v="1"/>
    <n v="4"/>
    <x v="1"/>
    <x v="2"/>
    <x v="1"/>
  </r>
  <r>
    <n v="36"/>
    <x v="1"/>
    <s v="Travel_Rarely"/>
    <n v="172"/>
    <x v="1"/>
    <n v="4"/>
    <n v="4"/>
    <s v="Life Sciences"/>
    <n v="1"/>
    <n v="1435"/>
    <n v="1"/>
    <s v="Male"/>
    <n v="37"/>
    <n v="2"/>
    <n v="2"/>
    <x v="2"/>
    <n v="4"/>
    <s v="Single"/>
    <n v="5810"/>
    <n v="22604"/>
    <n v="1"/>
    <s v="Y"/>
    <x v="1"/>
    <n v="16"/>
    <n v="3"/>
    <n v="3"/>
    <n v="80"/>
    <n v="0"/>
    <n v="10"/>
    <n v="2"/>
    <n v="2"/>
    <n v="10"/>
    <n v="4"/>
    <n v="1"/>
    <n v="8"/>
    <x v="1"/>
    <x v="1"/>
    <x v="0"/>
  </r>
  <r>
    <n v="36"/>
    <x v="1"/>
    <s v="Travel_Rarely"/>
    <n v="329"/>
    <x v="0"/>
    <n v="16"/>
    <n v="4"/>
    <s v="Marketing"/>
    <n v="1"/>
    <n v="1436"/>
    <n v="3"/>
    <s v="Female"/>
    <n v="98"/>
    <n v="2"/>
    <n v="2"/>
    <x v="0"/>
    <n v="1"/>
    <s v="Married"/>
    <n v="5647"/>
    <n v="13494"/>
    <n v="4"/>
    <s v="Y"/>
    <x v="1"/>
    <n v="13"/>
    <n v="3"/>
    <n v="1"/>
    <n v="80"/>
    <n v="2"/>
    <n v="11"/>
    <n v="3"/>
    <n v="2"/>
    <n v="3"/>
    <n v="2"/>
    <n v="0"/>
    <n v="2"/>
    <x v="1"/>
    <x v="1"/>
    <x v="0"/>
  </r>
  <r>
    <n v="47"/>
    <x v="1"/>
    <s v="Travel_Rarely"/>
    <n v="465"/>
    <x v="1"/>
    <n v="1"/>
    <n v="3"/>
    <s v="Technical Degree"/>
    <n v="1"/>
    <n v="1438"/>
    <n v="1"/>
    <s v="Male"/>
    <n v="74"/>
    <n v="3"/>
    <n v="1"/>
    <x v="1"/>
    <n v="4"/>
    <s v="Married"/>
    <n v="3420"/>
    <n v="10205"/>
    <n v="7"/>
    <s v="Y"/>
    <x v="1"/>
    <n v="12"/>
    <n v="3"/>
    <n v="3"/>
    <n v="80"/>
    <n v="1"/>
    <n v="17"/>
    <n v="2"/>
    <n v="2"/>
    <n v="6"/>
    <n v="5"/>
    <n v="1"/>
    <n v="2"/>
    <x v="1"/>
    <x v="0"/>
    <x v="0"/>
  </r>
  <r>
    <n v="25"/>
    <x v="0"/>
    <s v="Travel_Rarely"/>
    <n v="383"/>
    <x v="0"/>
    <n v="9"/>
    <n v="2"/>
    <s v="Life Sciences"/>
    <n v="1"/>
    <n v="1439"/>
    <n v="1"/>
    <s v="Male"/>
    <n v="68"/>
    <n v="2"/>
    <n v="1"/>
    <x v="6"/>
    <n v="1"/>
    <s v="Married"/>
    <n v="4400"/>
    <n v="15182"/>
    <n v="3"/>
    <s v="Y"/>
    <x v="1"/>
    <n v="12"/>
    <n v="3"/>
    <n v="1"/>
    <n v="80"/>
    <n v="0"/>
    <n v="6"/>
    <n v="2"/>
    <n v="3"/>
    <n v="3"/>
    <n v="2"/>
    <n v="2"/>
    <n v="2"/>
    <x v="0"/>
    <x v="2"/>
    <x v="0"/>
  </r>
  <r>
    <n v="37"/>
    <x v="1"/>
    <s v="Non-Travel"/>
    <n v="1413"/>
    <x v="1"/>
    <n v="5"/>
    <n v="2"/>
    <s v="Technical Degree"/>
    <n v="1"/>
    <n v="1440"/>
    <n v="3"/>
    <s v="Male"/>
    <n v="84"/>
    <n v="4"/>
    <n v="1"/>
    <x v="2"/>
    <n v="3"/>
    <s v="Single"/>
    <n v="3500"/>
    <n v="25470"/>
    <n v="0"/>
    <s v="Y"/>
    <x v="1"/>
    <n v="14"/>
    <n v="3"/>
    <n v="1"/>
    <n v="80"/>
    <n v="0"/>
    <n v="7"/>
    <n v="2"/>
    <n v="1"/>
    <n v="6"/>
    <n v="5"/>
    <n v="1"/>
    <n v="3"/>
    <x v="1"/>
    <x v="1"/>
    <x v="0"/>
  </r>
  <r>
    <n v="56"/>
    <x v="1"/>
    <s v="Travel_Rarely"/>
    <n v="1255"/>
    <x v="1"/>
    <n v="1"/>
    <n v="2"/>
    <s v="Life Sciences"/>
    <n v="1"/>
    <n v="1441"/>
    <n v="1"/>
    <s v="Female"/>
    <n v="90"/>
    <n v="3"/>
    <n v="1"/>
    <x v="1"/>
    <n v="1"/>
    <s v="Married"/>
    <n v="2066"/>
    <n v="10494"/>
    <n v="2"/>
    <s v="Y"/>
    <x v="1"/>
    <n v="22"/>
    <n v="4"/>
    <n v="4"/>
    <n v="80"/>
    <n v="1"/>
    <n v="5"/>
    <n v="3"/>
    <n v="4"/>
    <n v="3"/>
    <n v="2"/>
    <n v="1"/>
    <n v="0"/>
    <x v="1"/>
    <x v="3"/>
    <x v="1"/>
  </r>
  <r>
    <n v="47"/>
    <x v="1"/>
    <s v="Travel_Rarely"/>
    <n v="359"/>
    <x v="1"/>
    <n v="2"/>
    <n v="4"/>
    <s v="Medical"/>
    <n v="1"/>
    <n v="1443"/>
    <n v="1"/>
    <s v="Female"/>
    <n v="82"/>
    <n v="3"/>
    <n v="4"/>
    <x v="7"/>
    <n v="3"/>
    <s v="Married"/>
    <n v="17169"/>
    <n v="26703"/>
    <n v="3"/>
    <s v="Y"/>
    <x v="1"/>
    <n v="19"/>
    <n v="3"/>
    <n v="2"/>
    <n v="80"/>
    <n v="2"/>
    <n v="26"/>
    <n v="2"/>
    <n v="4"/>
    <n v="20"/>
    <n v="17"/>
    <n v="5"/>
    <n v="6"/>
    <x v="1"/>
    <x v="0"/>
    <x v="2"/>
  </r>
  <r>
    <n v="24"/>
    <x v="1"/>
    <s v="Travel_Rarely"/>
    <n v="1476"/>
    <x v="0"/>
    <n v="4"/>
    <n v="1"/>
    <s v="Medical"/>
    <n v="1"/>
    <n v="1445"/>
    <n v="4"/>
    <s v="Female"/>
    <n v="42"/>
    <n v="3"/>
    <n v="2"/>
    <x v="0"/>
    <n v="3"/>
    <s v="Married"/>
    <n v="4162"/>
    <n v="15211"/>
    <n v="1"/>
    <s v="Y"/>
    <x v="0"/>
    <n v="12"/>
    <n v="3"/>
    <n v="3"/>
    <n v="80"/>
    <n v="2"/>
    <n v="5"/>
    <n v="3"/>
    <n v="3"/>
    <n v="5"/>
    <n v="4"/>
    <n v="0"/>
    <n v="3"/>
    <x v="1"/>
    <x v="2"/>
    <x v="0"/>
  </r>
  <r>
    <n v="32"/>
    <x v="1"/>
    <s v="Travel_Rarely"/>
    <n v="601"/>
    <x v="0"/>
    <n v="7"/>
    <n v="5"/>
    <s v="Marketing"/>
    <n v="1"/>
    <n v="1446"/>
    <n v="4"/>
    <s v="Male"/>
    <n v="97"/>
    <n v="3"/>
    <n v="2"/>
    <x v="0"/>
    <n v="4"/>
    <s v="Married"/>
    <n v="9204"/>
    <n v="23343"/>
    <n v="4"/>
    <s v="Y"/>
    <x v="1"/>
    <n v="12"/>
    <n v="3"/>
    <n v="3"/>
    <n v="80"/>
    <n v="1"/>
    <n v="7"/>
    <n v="3"/>
    <n v="2"/>
    <n v="4"/>
    <n v="3"/>
    <n v="0"/>
    <n v="3"/>
    <x v="1"/>
    <x v="1"/>
    <x v="2"/>
  </r>
  <r>
    <n v="34"/>
    <x v="1"/>
    <s v="Travel_Rarely"/>
    <n v="401"/>
    <x v="1"/>
    <n v="1"/>
    <n v="3"/>
    <s v="Life Sciences"/>
    <n v="1"/>
    <n v="1447"/>
    <n v="4"/>
    <s v="Female"/>
    <n v="86"/>
    <n v="2"/>
    <n v="1"/>
    <x v="2"/>
    <n v="2"/>
    <s v="Married"/>
    <n v="3294"/>
    <n v="3708"/>
    <n v="5"/>
    <s v="Y"/>
    <x v="1"/>
    <n v="17"/>
    <n v="3"/>
    <n v="1"/>
    <n v="80"/>
    <n v="1"/>
    <n v="7"/>
    <n v="2"/>
    <n v="2"/>
    <n v="5"/>
    <n v="4"/>
    <n v="0"/>
    <n v="2"/>
    <x v="1"/>
    <x v="1"/>
    <x v="0"/>
  </r>
  <r>
    <n v="41"/>
    <x v="1"/>
    <s v="Travel_Rarely"/>
    <n v="1283"/>
    <x v="1"/>
    <n v="5"/>
    <n v="5"/>
    <s v="Medical"/>
    <n v="1"/>
    <n v="1448"/>
    <n v="2"/>
    <s v="Male"/>
    <n v="90"/>
    <n v="4"/>
    <n v="1"/>
    <x v="1"/>
    <n v="3"/>
    <s v="Married"/>
    <n v="2127"/>
    <n v="5561"/>
    <n v="2"/>
    <s v="Y"/>
    <x v="0"/>
    <n v="12"/>
    <n v="3"/>
    <n v="1"/>
    <n v="80"/>
    <n v="0"/>
    <n v="7"/>
    <n v="5"/>
    <n v="2"/>
    <n v="4"/>
    <n v="2"/>
    <n v="0"/>
    <n v="3"/>
    <x v="1"/>
    <x v="0"/>
    <x v="1"/>
  </r>
  <r>
    <n v="40"/>
    <x v="1"/>
    <s v="Non-Travel"/>
    <n v="663"/>
    <x v="1"/>
    <n v="9"/>
    <n v="4"/>
    <s v="Other"/>
    <n v="1"/>
    <n v="1449"/>
    <n v="3"/>
    <s v="Male"/>
    <n v="81"/>
    <n v="3"/>
    <n v="2"/>
    <x v="2"/>
    <n v="3"/>
    <s v="Divorced"/>
    <n v="3975"/>
    <n v="23099"/>
    <n v="3"/>
    <s v="Y"/>
    <x v="1"/>
    <n v="11"/>
    <n v="3"/>
    <n v="3"/>
    <n v="80"/>
    <n v="2"/>
    <n v="11"/>
    <n v="2"/>
    <n v="4"/>
    <n v="8"/>
    <n v="7"/>
    <n v="0"/>
    <n v="7"/>
    <x v="1"/>
    <x v="0"/>
    <x v="0"/>
  </r>
  <r>
    <n v="31"/>
    <x v="1"/>
    <s v="Travel_Rarely"/>
    <n v="326"/>
    <x v="0"/>
    <n v="8"/>
    <n v="2"/>
    <s v="Life Sciences"/>
    <n v="1"/>
    <n v="1453"/>
    <n v="1"/>
    <s v="Male"/>
    <n v="31"/>
    <n v="3"/>
    <n v="3"/>
    <x v="0"/>
    <n v="4"/>
    <s v="Divorced"/>
    <n v="10793"/>
    <n v="8386"/>
    <n v="1"/>
    <s v="Y"/>
    <x v="1"/>
    <n v="18"/>
    <n v="3"/>
    <n v="1"/>
    <n v="80"/>
    <n v="1"/>
    <n v="13"/>
    <n v="5"/>
    <n v="3"/>
    <n v="13"/>
    <n v="7"/>
    <n v="9"/>
    <n v="9"/>
    <x v="1"/>
    <x v="1"/>
    <x v="2"/>
  </r>
  <r>
    <n v="46"/>
    <x v="0"/>
    <s v="Travel_Rarely"/>
    <n v="377"/>
    <x v="0"/>
    <n v="9"/>
    <n v="3"/>
    <s v="Marketing"/>
    <n v="1"/>
    <n v="1457"/>
    <n v="1"/>
    <s v="Male"/>
    <n v="52"/>
    <n v="3"/>
    <n v="3"/>
    <x v="0"/>
    <n v="4"/>
    <s v="Divorced"/>
    <n v="10096"/>
    <n v="15986"/>
    <n v="4"/>
    <s v="Y"/>
    <x v="1"/>
    <n v="11"/>
    <n v="3"/>
    <n v="1"/>
    <n v="80"/>
    <n v="1"/>
    <n v="28"/>
    <n v="1"/>
    <n v="4"/>
    <n v="7"/>
    <n v="7"/>
    <n v="4"/>
    <n v="3"/>
    <x v="0"/>
    <x v="0"/>
    <x v="2"/>
  </r>
  <r>
    <n v="39"/>
    <x v="0"/>
    <s v="Non-Travel"/>
    <n v="592"/>
    <x v="1"/>
    <n v="2"/>
    <n v="3"/>
    <s v="Life Sciences"/>
    <n v="1"/>
    <n v="1458"/>
    <n v="1"/>
    <s v="Female"/>
    <n v="54"/>
    <n v="2"/>
    <n v="1"/>
    <x v="2"/>
    <n v="1"/>
    <s v="Single"/>
    <n v="3646"/>
    <n v="17181"/>
    <n v="2"/>
    <s v="Y"/>
    <x v="0"/>
    <n v="23"/>
    <n v="4"/>
    <n v="2"/>
    <n v="80"/>
    <n v="0"/>
    <n v="11"/>
    <n v="2"/>
    <n v="4"/>
    <n v="1"/>
    <n v="0"/>
    <n v="0"/>
    <n v="0"/>
    <x v="0"/>
    <x v="1"/>
    <x v="0"/>
  </r>
  <r>
    <n v="31"/>
    <x v="0"/>
    <s v="Travel_Frequently"/>
    <n v="1445"/>
    <x v="1"/>
    <n v="1"/>
    <n v="5"/>
    <s v="Life Sciences"/>
    <n v="1"/>
    <n v="1459"/>
    <n v="3"/>
    <s v="Female"/>
    <n v="100"/>
    <n v="4"/>
    <n v="3"/>
    <x v="3"/>
    <n v="2"/>
    <s v="Single"/>
    <n v="7446"/>
    <n v="8931"/>
    <n v="1"/>
    <s v="Y"/>
    <x v="1"/>
    <n v="11"/>
    <n v="3"/>
    <n v="1"/>
    <n v="80"/>
    <n v="0"/>
    <n v="10"/>
    <n v="2"/>
    <n v="3"/>
    <n v="10"/>
    <n v="8"/>
    <n v="4"/>
    <n v="7"/>
    <x v="0"/>
    <x v="1"/>
    <x v="2"/>
  </r>
  <r>
    <n v="45"/>
    <x v="1"/>
    <s v="Travel_Rarely"/>
    <n v="1038"/>
    <x v="1"/>
    <n v="20"/>
    <n v="3"/>
    <s v="Medical"/>
    <n v="1"/>
    <n v="1460"/>
    <n v="2"/>
    <s v="Male"/>
    <n v="95"/>
    <n v="1"/>
    <n v="3"/>
    <x v="4"/>
    <n v="1"/>
    <s v="Divorced"/>
    <n v="10851"/>
    <n v="19863"/>
    <n v="2"/>
    <s v="Y"/>
    <x v="0"/>
    <n v="18"/>
    <n v="3"/>
    <n v="2"/>
    <n v="80"/>
    <n v="1"/>
    <n v="24"/>
    <n v="2"/>
    <n v="3"/>
    <n v="7"/>
    <n v="7"/>
    <n v="0"/>
    <n v="7"/>
    <x v="1"/>
    <x v="0"/>
    <x v="2"/>
  </r>
  <r>
    <n v="31"/>
    <x v="1"/>
    <s v="Travel_Rarely"/>
    <n v="1398"/>
    <x v="2"/>
    <n v="8"/>
    <n v="2"/>
    <s v="Medical"/>
    <n v="1"/>
    <n v="1461"/>
    <n v="4"/>
    <s v="Female"/>
    <n v="96"/>
    <n v="4"/>
    <n v="1"/>
    <x v="8"/>
    <n v="2"/>
    <s v="Single"/>
    <n v="2109"/>
    <n v="24609"/>
    <n v="9"/>
    <s v="Y"/>
    <x v="1"/>
    <n v="18"/>
    <n v="3"/>
    <n v="4"/>
    <n v="80"/>
    <n v="0"/>
    <n v="8"/>
    <n v="3"/>
    <n v="3"/>
    <n v="3"/>
    <n v="2"/>
    <n v="0"/>
    <n v="2"/>
    <x v="1"/>
    <x v="1"/>
    <x v="1"/>
  </r>
  <r>
    <n v="31"/>
    <x v="0"/>
    <s v="Travel_Frequently"/>
    <n v="523"/>
    <x v="1"/>
    <n v="2"/>
    <n v="3"/>
    <s v="Life Sciences"/>
    <n v="1"/>
    <n v="1464"/>
    <n v="2"/>
    <s v="Male"/>
    <n v="94"/>
    <n v="3"/>
    <n v="1"/>
    <x v="2"/>
    <n v="4"/>
    <s v="Married"/>
    <n v="3722"/>
    <n v="21081"/>
    <n v="6"/>
    <s v="Y"/>
    <x v="0"/>
    <n v="13"/>
    <n v="3"/>
    <n v="3"/>
    <n v="80"/>
    <n v="1"/>
    <n v="7"/>
    <n v="2"/>
    <n v="1"/>
    <n v="2"/>
    <n v="2"/>
    <n v="2"/>
    <n v="2"/>
    <x v="0"/>
    <x v="1"/>
    <x v="0"/>
  </r>
  <r>
    <n v="45"/>
    <x v="1"/>
    <s v="Travel_Rarely"/>
    <n v="1448"/>
    <x v="1"/>
    <n v="29"/>
    <n v="3"/>
    <s v="Technical Degree"/>
    <n v="1"/>
    <n v="1465"/>
    <n v="2"/>
    <s v="Male"/>
    <n v="55"/>
    <n v="3"/>
    <n v="3"/>
    <x v="3"/>
    <n v="4"/>
    <s v="Married"/>
    <n v="9380"/>
    <n v="14720"/>
    <n v="4"/>
    <s v="Y"/>
    <x v="0"/>
    <n v="18"/>
    <n v="3"/>
    <n v="4"/>
    <n v="80"/>
    <n v="2"/>
    <n v="10"/>
    <n v="4"/>
    <n v="4"/>
    <n v="3"/>
    <n v="1"/>
    <n v="1"/>
    <n v="2"/>
    <x v="1"/>
    <x v="0"/>
    <x v="2"/>
  </r>
  <r>
    <n v="48"/>
    <x v="1"/>
    <s v="Travel_Rarely"/>
    <n v="1221"/>
    <x v="0"/>
    <n v="7"/>
    <n v="3"/>
    <s v="Marketing"/>
    <n v="1"/>
    <n v="1466"/>
    <n v="3"/>
    <s v="Male"/>
    <n v="96"/>
    <n v="3"/>
    <n v="2"/>
    <x v="0"/>
    <n v="1"/>
    <s v="Divorced"/>
    <n v="5486"/>
    <n v="24795"/>
    <n v="4"/>
    <s v="Y"/>
    <x v="1"/>
    <n v="11"/>
    <n v="3"/>
    <n v="1"/>
    <n v="80"/>
    <n v="3"/>
    <n v="15"/>
    <n v="3"/>
    <n v="3"/>
    <n v="2"/>
    <n v="2"/>
    <n v="2"/>
    <n v="2"/>
    <x v="1"/>
    <x v="0"/>
    <x v="0"/>
  </r>
  <r>
    <n v="34"/>
    <x v="0"/>
    <s v="Travel_Rarely"/>
    <n v="1107"/>
    <x v="2"/>
    <n v="9"/>
    <n v="4"/>
    <s v="Technical Degree"/>
    <n v="1"/>
    <n v="1467"/>
    <n v="1"/>
    <s v="Female"/>
    <n v="52"/>
    <n v="3"/>
    <n v="1"/>
    <x v="8"/>
    <n v="3"/>
    <s v="Married"/>
    <n v="2742"/>
    <n v="3072"/>
    <n v="1"/>
    <s v="Y"/>
    <x v="1"/>
    <n v="15"/>
    <n v="3"/>
    <n v="4"/>
    <n v="80"/>
    <n v="0"/>
    <n v="2"/>
    <n v="0"/>
    <n v="3"/>
    <n v="2"/>
    <n v="2"/>
    <n v="2"/>
    <n v="2"/>
    <x v="0"/>
    <x v="1"/>
    <x v="1"/>
  </r>
  <r>
    <n v="40"/>
    <x v="1"/>
    <s v="Non-Travel"/>
    <n v="218"/>
    <x v="1"/>
    <n v="8"/>
    <n v="1"/>
    <s v="Medical"/>
    <n v="1"/>
    <n v="1468"/>
    <n v="4"/>
    <s v="Male"/>
    <n v="55"/>
    <n v="2"/>
    <n v="3"/>
    <x v="7"/>
    <n v="2"/>
    <s v="Divorced"/>
    <n v="13757"/>
    <n v="25178"/>
    <n v="2"/>
    <s v="Y"/>
    <x v="1"/>
    <n v="11"/>
    <n v="3"/>
    <n v="3"/>
    <n v="80"/>
    <n v="1"/>
    <n v="16"/>
    <n v="5"/>
    <n v="3"/>
    <n v="9"/>
    <n v="8"/>
    <n v="4"/>
    <n v="8"/>
    <x v="1"/>
    <x v="0"/>
    <x v="2"/>
  </r>
  <r>
    <n v="28"/>
    <x v="1"/>
    <s v="Travel_Rarely"/>
    <n v="866"/>
    <x v="0"/>
    <n v="5"/>
    <n v="3"/>
    <s v="Medical"/>
    <n v="1"/>
    <n v="1469"/>
    <n v="4"/>
    <s v="Male"/>
    <n v="84"/>
    <n v="3"/>
    <n v="2"/>
    <x v="0"/>
    <n v="1"/>
    <s v="Single"/>
    <n v="8463"/>
    <n v="23490"/>
    <n v="0"/>
    <s v="Y"/>
    <x v="1"/>
    <n v="18"/>
    <n v="3"/>
    <n v="4"/>
    <n v="80"/>
    <n v="0"/>
    <n v="6"/>
    <n v="4"/>
    <n v="3"/>
    <n v="5"/>
    <n v="4"/>
    <n v="1"/>
    <n v="3"/>
    <x v="1"/>
    <x v="2"/>
    <x v="2"/>
  </r>
  <r>
    <n v="44"/>
    <x v="1"/>
    <s v="Non-Travel"/>
    <n v="981"/>
    <x v="1"/>
    <n v="5"/>
    <n v="3"/>
    <s v="Life Sciences"/>
    <n v="1"/>
    <n v="1471"/>
    <n v="3"/>
    <s v="Male"/>
    <n v="90"/>
    <n v="2"/>
    <n v="1"/>
    <x v="2"/>
    <n v="3"/>
    <s v="Single"/>
    <n v="3162"/>
    <n v="7973"/>
    <n v="3"/>
    <s v="Y"/>
    <x v="1"/>
    <n v="14"/>
    <n v="3"/>
    <n v="4"/>
    <n v="80"/>
    <n v="0"/>
    <n v="7"/>
    <n v="5"/>
    <n v="3"/>
    <n v="5"/>
    <n v="2"/>
    <n v="0"/>
    <n v="3"/>
    <x v="1"/>
    <x v="0"/>
    <x v="0"/>
  </r>
  <r>
    <n v="53"/>
    <x v="1"/>
    <s v="Travel_Rarely"/>
    <n v="447"/>
    <x v="1"/>
    <n v="2"/>
    <n v="3"/>
    <s v="Medical"/>
    <n v="1"/>
    <n v="1472"/>
    <n v="4"/>
    <s v="Male"/>
    <n v="39"/>
    <n v="4"/>
    <n v="4"/>
    <x v="7"/>
    <n v="2"/>
    <s v="Single"/>
    <n v="16598"/>
    <n v="19764"/>
    <n v="4"/>
    <s v="Y"/>
    <x v="1"/>
    <n v="12"/>
    <n v="3"/>
    <n v="2"/>
    <n v="80"/>
    <n v="0"/>
    <n v="35"/>
    <n v="2"/>
    <n v="2"/>
    <n v="9"/>
    <n v="8"/>
    <n v="8"/>
    <n v="8"/>
    <x v="1"/>
    <x v="3"/>
    <x v="2"/>
  </r>
  <r>
    <n v="49"/>
    <x v="1"/>
    <s v="Travel_Rarely"/>
    <n v="1495"/>
    <x v="1"/>
    <n v="5"/>
    <n v="4"/>
    <s v="Technical Degree"/>
    <n v="1"/>
    <n v="1473"/>
    <n v="1"/>
    <s v="Male"/>
    <n v="96"/>
    <n v="3"/>
    <n v="2"/>
    <x v="4"/>
    <n v="3"/>
    <s v="Married"/>
    <n v="6651"/>
    <n v="21534"/>
    <n v="2"/>
    <s v="Y"/>
    <x v="1"/>
    <n v="14"/>
    <n v="3"/>
    <n v="2"/>
    <n v="80"/>
    <n v="1"/>
    <n v="20"/>
    <n v="0"/>
    <n v="2"/>
    <n v="3"/>
    <n v="2"/>
    <n v="1"/>
    <n v="2"/>
    <x v="1"/>
    <x v="0"/>
    <x v="0"/>
  </r>
  <r>
    <n v="40"/>
    <x v="1"/>
    <s v="Travel_Rarely"/>
    <n v="896"/>
    <x v="1"/>
    <n v="2"/>
    <n v="3"/>
    <s v="Medical"/>
    <n v="1"/>
    <n v="1474"/>
    <n v="3"/>
    <s v="Male"/>
    <n v="68"/>
    <n v="3"/>
    <n v="1"/>
    <x v="1"/>
    <n v="3"/>
    <s v="Divorced"/>
    <n v="2345"/>
    <n v="8045"/>
    <n v="2"/>
    <s v="Y"/>
    <x v="1"/>
    <n v="14"/>
    <n v="3"/>
    <n v="3"/>
    <n v="80"/>
    <n v="1"/>
    <n v="8"/>
    <n v="3"/>
    <n v="4"/>
    <n v="3"/>
    <n v="1"/>
    <n v="1"/>
    <n v="2"/>
    <x v="1"/>
    <x v="0"/>
    <x v="1"/>
  </r>
  <r>
    <n v="44"/>
    <x v="1"/>
    <s v="Travel_Rarely"/>
    <n v="1467"/>
    <x v="1"/>
    <n v="20"/>
    <n v="3"/>
    <s v="Life Sciences"/>
    <n v="1"/>
    <n v="1475"/>
    <n v="4"/>
    <s v="Male"/>
    <n v="49"/>
    <n v="3"/>
    <n v="1"/>
    <x v="1"/>
    <n v="2"/>
    <s v="Single"/>
    <n v="3420"/>
    <n v="21158"/>
    <n v="1"/>
    <s v="Y"/>
    <x v="1"/>
    <n v="13"/>
    <n v="3"/>
    <n v="3"/>
    <n v="80"/>
    <n v="0"/>
    <n v="6"/>
    <n v="3"/>
    <n v="2"/>
    <n v="5"/>
    <n v="2"/>
    <n v="1"/>
    <n v="3"/>
    <x v="1"/>
    <x v="0"/>
    <x v="0"/>
  </r>
  <r>
    <n v="33"/>
    <x v="1"/>
    <s v="Travel_Frequently"/>
    <n v="430"/>
    <x v="0"/>
    <n v="7"/>
    <n v="3"/>
    <s v="Medical"/>
    <n v="1"/>
    <n v="1477"/>
    <n v="4"/>
    <s v="Male"/>
    <n v="54"/>
    <n v="3"/>
    <n v="2"/>
    <x v="0"/>
    <n v="1"/>
    <s v="Married"/>
    <n v="4373"/>
    <n v="17456"/>
    <n v="0"/>
    <s v="Y"/>
    <x v="1"/>
    <n v="14"/>
    <n v="3"/>
    <n v="1"/>
    <n v="80"/>
    <n v="2"/>
    <n v="5"/>
    <n v="2"/>
    <n v="3"/>
    <n v="4"/>
    <n v="3"/>
    <n v="0"/>
    <n v="3"/>
    <x v="1"/>
    <x v="1"/>
    <x v="0"/>
  </r>
  <r>
    <n v="34"/>
    <x v="1"/>
    <s v="Travel_Rarely"/>
    <n v="1326"/>
    <x v="0"/>
    <n v="3"/>
    <n v="3"/>
    <s v="Other"/>
    <n v="1"/>
    <n v="1478"/>
    <n v="4"/>
    <s v="Male"/>
    <n v="81"/>
    <n v="1"/>
    <n v="2"/>
    <x v="0"/>
    <n v="1"/>
    <s v="Single"/>
    <n v="4759"/>
    <n v="15891"/>
    <n v="3"/>
    <s v="Y"/>
    <x v="1"/>
    <n v="18"/>
    <n v="3"/>
    <n v="4"/>
    <n v="80"/>
    <n v="0"/>
    <n v="15"/>
    <n v="2"/>
    <n v="3"/>
    <n v="13"/>
    <n v="9"/>
    <n v="3"/>
    <n v="12"/>
    <x v="1"/>
    <x v="1"/>
    <x v="0"/>
  </r>
  <r>
    <n v="30"/>
    <x v="1"/>
    <s v="Travel_Rarely"/>
    <n v="1358"/>
    <x v="0"/>
    <n v="16"/>
    <n v="1"/>
    <s v="Life Sciences"/>
    <n v="1"/>
    <n v="1479"/>
    <n v="4"/>
    <s v="Male"/>
    <n v="96"/>
    <n v="3"/>
    <n v="2"/>
    <x v="0"/>
    <n v="3"/>
    <s v="Married"/>
    <n v="5301"/>
    <n v="2939"/>
    <n v="8"/>
    <s v="Y"/>
    <x v="1"/>
    <n v="15"/>
    <n v="3"/>
    <n v="3"/>
    <n v="80"/>
    <n v="2"/>
    <n v="4"/>
    <n v="2"/>
    <n v="2"/>
    <n v="2"/>
    <n v="1"/>
    <n v="2"/>
    <n v="2"/>
    <x v="1"/>
    <x v="1"/>
    <x v="0"/>
  </r>
  <r>
    <n v="42"/>
    <x v="1"/>
    <s v="Travel_Frequently"/>
    <n v="748"/>
    <x v="1"/>
    <n v="9"/>
    <n v="2"/>
    <s v="Medical"/>
    <n v="1"/>
    <n v="1480"/>
    <n v="1"/>
    <s v="Female"/>
    <n v="74"/>
    <n v="3"/>
    <n v="1"/>
    <x v="2"/>
    <n v="4"/>
    <s v="Single"/>
    <n v="3673"/>
    <n v="16458"/>
    <n v="1"/>
    <s v="Y"/>
    <x v="1"/>
    <n v="13"/>
    <n v="3"/>
    <n v="3"/>
    <n v="80"/>
    <n v="0"/>
    <n v="12"/>
    <n v="3"/>
    <n v="3"/>
    <n v="12"/>
    <n v="9"/>
    <n v="5"/>
    <n v="8"/>
    <x v="1"/>
    <x v="0"/>
    <x v="0"/>
  </r>
  <r>
    <n v="44"/>
    <x v="1"/>
    <s v="Travel_Frequently"/>
    <n v="383"/>
    <x v="0"/>
    <n v="1"/>
    <n v="5"/>
    <s v="Marketing"/>
    <n v="1"/>
    <n v="1481"/>
    <n v="1"/>
    <s v="Female"/>
    <n v="79"/>
    <n v="3"/>
    <n v="2"/>
    <x v="0"/>
    <n v="3"/>
    <s v="Married"/>
    <n v="4768"/>
    <n v="9282"/>
    <n v="7"/>
    <s v="Y"/>
    <x v="1"/>
    <n v="12"/>
    <n v="3"/>
    <n v="3"/>
    <n v="80"/>
    <n v="1"/>
    <n v="11"/>
    <n v="4"/>
    <n v="2"/>
    <n v="1"/>
    <n v="0"/>
    <n v="0"/>
    <n v="0"/>
    <x v="1"/>
    <x v="0"/>
    <x v="0"/>
  </r>
  <r>
    <n v="30"/>
    <x v="1"/>
    <s v="Non-Travel"/>
    <n v="990"/>
    <x v="1"/>
    <n v="7"/>
    <n v="3"/>
    <s v="Technical Degree"/>
    <n v="1"/>
    <n v="1482"/>
    <n v="3"/>
    <s v="Male"/>
    <n v="64"/>
    <n v="3"/>
    <n v="1"/>
    <x v="1"/>
    <n v="3"/>
    <s v="Divorced"/>
    <n v="1274"/>
    <n v="7152"/>
    <n v="1"/>
    <s v="Y"/>
    <x v="1"/>
    <n v="13"/>
    <n v="3"/>
    <n v="2"/>
    <n v="80"/>
    <n v="2"/>
    <n v="1"/>
    <n v="2"/>
    <n v="2"/>
    <n v="1"/>
    <n v="0"/>
    <n v="0"/>
    <n v="0"/>
    <x v="1"/>
    <x v="1"/>
    <x v="1"/>
  </r>
  <r>
    <n v="57"/>
    <x v="1"/>
    <s v="Travel_Rarely"/>
    <n v="405"/>
    <x v="1"/>
    <n v="1"/>
    <n v="2"/>
    <s v="Life Sciences"/>
    <n v="1"/>
    <n v="1483"/>
    <n v="2"/>
    <s v="Male"/>
    <n v="93"/>
    <n v="4"/>
    <n v="2"/>
    <x v="1"/>
    <n v="3"/>
    <s v="Married"/>
    <n v="4900"/>
    <n v="2721"/>
    <n v="0"/>
    <s v="Y"/>
    <x v="1"/>
    <n v="24"/>
    <n v="4"/>
    <n v="1"/>
    <n v="80"/>
    <n v="1"/>
    <n v="13"/>
    <n v="2"/>
    <n v="2"/>
    <n v="12"/>
    <n v="9"/>
    <n v="2"/>
    <n v="8"/>
    <x v="1"/>
    <x v="3"/>
    <x v="0"/>
  </r>
  <r>
    <n v="49"/>
    <x v="1"/>
    <s v="Travel_Rarely"/>
    <n v="1490"/>
    <x v="1"/>
    <n v="7"/>
    <n v="4"/>
    <s v="Life Sciences"/>
    <n v="1"/>
    <n v="1484"/>
    <n v="3"/>
    <s v="Male"/>
    <n v="35"/>
    <n v="3"/>
    <n v="3"/>
    <x v="4"/>
    <n v="2"/>
    <s v="Divorced"/>
    <n v="10466"/>
    <n v="20948"/>
    <n v="3"/>
    <s v="Y"/>
    <x v="1"/>
    <n v="14"/>
    <n v="3"/>
    <n v="2"/>
    <n v="80"/>
    <n v="2"/>
    <n v="29"/>
    <n v="3"/>
    <n v="3"/>
    <n v="8"/>
    <n v="7"/>
    <n v="0"/>
    <n v="7"/>
    <x v="1"/>
    <x v="0"/>
    <x v="2"/>
  </r>
  <r>
    <n v="34"/>
    <x v="1"/>
    <s v="Travel_Frequently"/>
    <n v="829"/>
    <x v="1"/>
    <n v="15"/>
    <n v="3"/>
    <s v="Medical"/>
    <n v="1"/>
    <n v="1485"/>
    <n v="2"/>
    <s v="Male"/>
    <n v="71"/>
    <n v="3"/>
    <n v="4"/>
    <x v="7"/>
    <n v="1"/>
    <s v="Divorced"/>
    <n v="17007"/>
    <n v="11929"/>
    <n v="7"/>
    <s v="Y"/>
    <x v="1"/>
    <n v="14"/>
    <n v="3"/>
    <n v="4"/>
    <n v="80"/>
    <n v="2"/>
    <n v="16"/>
    <n v="3"/>
    <n v="2"/>
    <n v="14"/>
    <n v="8"/>
    <n v="6"/>
    <n v="9"/>
    <x v="1"/>
    <x v="1"/>
    <x v="2"/>
  </r>
  <r>
    <n v="28"/>
    <x v="0"/>
    <s v="Travel_Frequently"/>
    <n v="1496"/>
    <x v="0"/>
    <n v="1"/>
    <n v="3"/>
    <s v="Technical Degree"/>
    <n v="1"/>
    <n v="1486"/>
    <n v="1"/>
    <s v="Male"/>
    <n v="92"/>
    <n v="3"/>
    <n v="1"/>
    <x v="6"/>
    <n v="3"/>
    <s v="Married"/>
    <n v="2909"/>
    <n v="15747"/>
    <n v="3"/>
    <s v="Y"/>
    <x v="1"/>
    <n v="15"/>
    <n v="3"/>
    <n v="4"/>
    <n v="80"/>
    <n v="1"/>
    <n v="5"/>
    <n v="3"/>
    <n v="4"/>
    <n v="3"/>
    <n v="2"/>
    <n v="1"/>
    <n v="2"/>
    <x v="0"/>
    <x v="2"/>
    <x v="1"/>
  </r>
  <r>
    <n v="29"/>
    <x v="0"/>
    <s v="Travel_Frequently"/>
    <n v="115"/>
    <x v="0"/>
    <n v="13"/>
    <n v="3"/>
    <s v="Technical Degree"/>
    <n v="1"/>
    <n v="1487"/>
    <n v="1"/>
    <s v="Female"/>
    <n v="51"/>
    <n v="3"/>
    <n v="2"/>
    <x v="0"/>
    <n v="2"/>
    <s v="Single"/>
    <n v="5765"/>
    <n v="17485"/>
    <n v="5"/>
    <s v="Y"/>
    <x v="1"/>
    <n v="11"/>
    <n v="3"/>
    <n v="1"/>
    <n v="80"/>
    <n v="0"/>
    <n v="7"/>
    <n v="4"/>
    <n v="1"/>
    <n v="5"/>
    <n v="3"/>
    <n v="0"/>
    <n v="0"/>
    <x v="0"/>
    <x v="2"/>
    <x v="0"/>
  </r>
  <r>
    <n v="34"/>
    <x v="0"/>
    <s v="Travel_Rarely"/>
    <n v="790"/>
    <x v="0"/>
    <n v="24"/>
    <n v="4"/>
    <s v="Medical"/>
    <n v="1"/>
    <n v="1489"/>
    <n v="1"/>
    <s v="Female"/>
    <n v="40"/>
    <n v="2"/>
    <n v="2"/>
    <x v="0"/>
    <n v="2"/>
    <s v="Single"/>
    <n v="4599"/>
    <n v="7815"/>
    <n v="0"/>
    <s v="Y"/>
    <x v="0"/>
    <n v="23"/>
    <n v="4"/>
    <n v="3"/>
    <n v="80"/>
    <n v="0"/>
    <n v="16"/>
    <n v="2"/>
    <n v="4"/>
    <n v="15"/>
    <n v="9"/>
    <n v="10"/>
    <n v="10"/>
    <x v="0"/>
    <x v="1"/>
    <x v="0"/>
  </r>
  <r>
    <n v="35"/>
    <x v="1"/>
    <s v="Travel_Rarely"/>
    <n v="660"/>
    <x v="0"/>
    <n v="7"/>
    <n v="1"/>
    <s v="Life Sciences"/>
    <n v="1"/>
    <n v="1492"/>
    <n v="4"/>
    <s v="Male"/>
    <n v="76"/>
    <n v="3"/>
    <n v="1"/>
    <x v="6"/>
    <n v="3"/>
    <s v="Married"/>
    <n v="2404"/>
    <n v="16192"/>
    <n v="1"/>
    <s v="Y"/>
    <x v="1"/>
    <n v="13"/>
    <n v="3"/>
    <n v="1"/>
    <n v="80"/>
    <n v="1"/>
    <n v="1"/>
    <n v="3"/>
    <n v="3"/>
    <n v="1"/>
    <n v="0"/>
    <n v="0"/>
    <n v="0"/>
    <x v="1"/>
    <x v="1"/>
    <x v="1"/>
  </r>
  <r>
    <n v="24"/>
    <x v="0"/>
    <s v="Travel_Frequently"/>
    <n v="381"/>
    <x v="1"/>
    <n v="9"/>
    <n v="3"/>
    <s v="Medical"/>
    <n v="1"/>
    <n v="1494"/>
    <n v="2"/>
    <s v="Male"/>
    <n v="89"/>
    <n v="3"/>
    <n v="1"/>
    <x v="2"/>
    <n v="1"/>
    <s v="Single"/>
    <n v="3172"/>
    <n v="16998"/>
    <n v="2"/>
    <s v="Y"/>
    <x v="0"/>
    <n v="11"/>
    <n v="3"/>
    <n v="3"/>
    <n v="80"/>
    <n v="0"/>
    <n v="4"/>
    <n v="2"/>
    <n v="2"/>
    <n v="0"/>
    <n v="0"/>
    <n v="0"/>
    <n v="0"/>
    <x v="0"/>
    <x v="2"/>
    <x v="0"/>
  </r>
  <r>
    <n v="24"/>
    <x v="1"/>
    <s v="Non-Travel"/>
    <n v="830"/>
    <x v="0"/>
    <n v="13"/>
    <n v="2"/>
    <s v="Life Sciences"/>
    <n v="1"/>
    <n v="1495"/>
    <n v="4"/>
    <s v="Female"/>
    <n v="78"/>
    <n v="3"/>
    <n v="1"/>
    <x v="6"/>
    <n v="2"/>
    <s v="Married"/>
    <n v="2033"/>
    <n v="7103"/>
    <n v="1"/>
    <s v="Y"/>
    <x v="1"/>
    <n v="13"/>
    <n v="3"/>
    <n v="3"/>
    <n v="80"/>
    <n v="1"/>
    <n v="1"/>
    <n v="2"/>
    <n v="3"/>
    <n v="1"/>
    <n v="0"/>
    <n v="0"/>
    <n v="0"/>
    <x v="1"/>
    <x v="2"/>
    <x v="1"/>
  </r>
  <r>
    <n v="44"/>
    <x v="1"/>
    <s v="Travel_Frequently"/>
    <n v="1193"/>
    <x v="1"/>
    <n v="2"/>
    <n v="1"/>
    <s v="Medical"/>
    <n v="1"/>
    <n v="1496"/>
    <n v="2"/>
    <s v="Male"/>
    <n v="86"/>
    <n v="3"/>
    <n v="3"/>
    <x v="3"/>
    <n v="3"/>
    <s v="Single"/>
    <n v="10209"/>
    <n v="19719"/>
    <n v="5"/>
    <s v="Y"/>
    <x v="0"/>
    <n v="18"/>
    <n v="3"/>
    <n v="2"/>
    <n v="80"/>
    <n v="0"/>
    <n v="16"/>
    <n v="2"/>
    <n v="2"/>
    <n v="2"/>
    <n v="2"/>
    <n v="2"/>
    <n v="2"/>
    <x v="1"/>
    <x v="0"/>
    <x v="2"/>
  </r>
  <r>
    <n v="29"/>
    <x v="1"/>
    <s v="Travel_Rarely"/>
    <n v="1246"/>
    <x v="0"/>
    <n v="19"/>
    <n v="3"/>
    <s v="Life Sciences"/>
    <n v="1"/>
    <n v="1497"/>
    <n v="3"/>
    <s v="Male"/>
    <n v="77"/>
    <n v="2"/>
    <n v="2"/>
    <x v="0"/>
    <n v="3"/>
    <s v="Divorced"/>
    <n v="8620"/>
    <n v="23757"/>
    <n v="1"/>
    <s v="Y"/>
    <x v="1"/>
    <n v="14"/>
    <n v="3"/>
    <n v="3"/>
    <n v="80"/>
    <n v="2"/>
    <n v="10"/>
    <n v="3"/>
    <n v="3"/>
    <n v="10"/>
    <n v="7"/>
    <n v="0"/>
    <n v="4"/>
    <x v="1"/>
    <x v="2"/>
    <x v="2"/>
  </r>
  <r>
    <n v="30"/>
    <x v="1"/>
    <s v="Travel_Rarely"/>
    <n v="330"/>
    <x v="2"/>
    <n v="1"/>
    <n v="3"/>
    <s v="Life Sciences"/>
    <n v="1"/>
    <n v="1499"/>
    <n v="3"/>
    <s v="Male"/>
    <n v="46"/>
    <n v="3"/>
    <n v="1"/>
    <x v="8"/>
    <n v="3"/>
    <s v="Divorced"/>
    <n v="2064"/>
    <n v="15428"/>
    <n v="0"/>
    <s v="Y"/>
    <x v="1"/>
    <n v="21"/>
    <n v="4"/>
    <n v="1"/>
    <n v="80"/>
    <n v="1"/>
    <n v="6"/>
    <n v="3"/>
    <n v="4"/>
    <n v="5"/>
    <n v="3"/>
    <n v="1"/>
    <n v="3"/>
    <x v="1"/>
    <x v="1"/>
    <x v="1"/>
  </r>
  <r>
    <n v="55"/>
    <x v="1"/>
    <s v="Travel_Rarely"/>
    <n v="1229"/>
    <x v="1"/>
    <n v="4"/>
    <n v="4"/>
    <s v="Life Sciences"/>
    <n v="1"/>
    <n v="1501"/>
    <n v="4"/>
    <s v="Male"/>
    <n v="30"/>
    <n v="3"/>
    <n v="2"/>
    <x v="4"/>
    <n v="3"/>
    <s v="Married"/>
    <n v="4035"/>
    <n v="16143"/>
    <n v="0"/>
    <s v="Y"/>
    <x v="0"/>
    <n v="16"/>
    <n v="3"/>
    <n v="2"/>
    <n v="80"/>
    <n v="0"/>
    <n v="4"/>
    <n v="2"/>
    <n v="3"/>
    <n v="3"/>
    <n v="2"/>
    <n v="1"/>
    <n v="2"/>
    <x v="1"/>
    <x v="3"/>
    <x v="0"/>
  </r>
  <r>
    <n v="33"/>
    <x v="1"/>
    <s v="Travel_Rarely"/>
    <n v="1099"/>
    <x v="1"/>
    <n v="4"/>
    <n v="4"/>
    <s v="Medical"/>
    <n v="1"/>
    <n v="1502"/>
    <n v="1"/>
    <s v="Female"/>
    <n v="82"/>
    <n v="2"/>
    <n v="1"/>
    <x v="2"/>
    <n v="2"/>
    <s v="Married"/>
    <n v="3838"/>
    <n v="8192"/>
    <n v="8"/>
    <s v="Y"/>
    <x v="1"/>
    <n v="11"/>
    <n v="3"/>
    <n v="4"/>
    <n v="80"/>
    <n v="0"/>
    <n v="8"/>
    <n v="5"/>
    <n v="3"/>
    <n v="5"/>
    <n v="4"/>
    <n v="0"/>
    <n v="2"/>
    <x v="1"/>
    <x v="1"/>
    <x v="0"/>
  </r>
  <r>
    <n v="47"/>
    <x v="1"/>
    <s v="Travel_Rarely"/>
    <n v="571"/>
    <x v="0"/>
    <n v="14"/>
    <n v="3"/>
    <s v="Medical"/>
    <n v="1"/>
    <n v="1503"/>
    <n v="3"/>
    <s v="Female"/>
    <n v="78"/>
    <n v="3"/>
    <n v="2"/>
    <x v="0"/>
    <n v="3"/>
    <s v="Married"/>
    <n v="4591"/>
    <n v="24200"/>
    <n v="3"/>
    <s v="Y"/>
    <x v="0"/>
    <n v="17"/>
    <n v="3"/>
    <n v="3"/>
    <n v="80"/>
    <n v="1"/>
    <n v="11"/>
    <n v="4"/>
    <n v="2"/>
    <n v="5"/>
    <n v="4"/>
    <n v="1"/>
    <n v="2"/>
    <x v="1"/>
    <x v="0"/>
    <x v="0"/>
  </r>
  <r>
    <n v="28"/>
    <x v="0"/>
    <s v="Travel_Frequently"/>
    <n v="289"/>
    <x v="1"/>
    <n v="2"/>
    <n v="2"/>
    <s v="Medical"/>
    <n v="1"/>
    <n v="1504"/>
    <n v="3"/>
    <s v="Male"/>
    <n v="38"/>
    <n v="2"/>
    <n v="1"/>
    <x v="2"/>
    <n v="1"/>
    <s v="Single"/>
    <n v="2561"/>
    <n v="5355"/>
    <n v="7"/>
    <s v="Y"/>
    <x v="1"/>
    <n v="11"/>
    <n v="3"/>
    <n v="3"/>
    <n v="80"/>
    <n v="0"/>
    <n v="8"/>
    <n v="2"/>
    <n v="2"/>
    <n v="0"/>
    <n v="0"/>
    <n v="0"/>
    <n v="0"/>
    <x v="0"/>
    <x v="2"/>
    <x v="1"/>
  </r>
  <r>
    <n v="28"/>
    <x v="1"/>
    <s v="Travel_Rarely"/>
    <n v="1423"/>
    <x v="1"/>
    <n v="1"/>
    <n v="3"/>
    <s v="Life Sciences"/>
    <n v="1"/>
    <n v="1506"/>
    <n v="1"/>
    <s v="Male"/>
    <n v="72"/>
    <n v="2"/>
    <n v="1"/>
    <x v="1"/>
    <n v="3"/>
    <s v="Divorced"/>
    <n v="1563"/>
    <n v="12530"/>
    <n v="1"/>
    <s v="Y"/>
    <x v="1"/>
    <n v="14"/>
    <n v="3"/>
    <n v="4"/>
    <n v="80"/>
    <n v="1"/>
    <n v="1"/>
    <n v="2"/>
    <n v="1"/>
    <n v="1"/>
    <n v="0"/>
    <n v="0"/>
    <n v="0"/>
    <x v="1"/>
    <x v="2"/>
    <x v="1"/>
  </r>
  <r>
    <n v="28"/>
    <x v="1"/>
    <s v="Travel_Frequently"/>
    <n v="467"/>
    <x v="0"/>
    <n v="7"/>
    <n v="3"/>
    <s v="Life Sciences"/>
    <n v="1"/>
    <n v="1507"/>
    <n v="3"/>
    <s v="Male"/>
    <n v="55"/>
    <n v="3"/>
    <n v="2"/>
    <x v="0"/>
    <n v="1"/>
    <s v="Single"/>
    <n v="4898"/>
    <n v="11827"/>
    <n v="0"/>
    <s v="Y"/>
    <x v="1"/>
    <n v="14"/>
    <n v="3"/>
    <n v="4"/>
    <n v="80"/>
    <n v="0"/>
    <n v="5"/>
    <n v="5"/>
    <n v="3"/>
    <n v="4"/>
    <n v="2"/>
    <n v="1"/>
    <n v="3"/>
    <x v="1"/>
    <x v="2"/>
    <x v="0"/>
  </r>
  <r>
    <n v="49"/>
    <x v="1"/>
    <s v="Travel_Rarely"/>
    <n v="271"/>
    <x v="1"/>
    <n v="3"/>
    <n v="2"/>
    <s v="Medical"/>
    <n v="1"/>
    <n v="1509"/>
    <n v="3"/>
    <s v="Female"/>
    <n v="43"/>
    <n v="2"/>
    <n v="2"/>
    <x v="2"/>
    <n v="1"/>
    <s v="Married"/>
    <n v="4789"/>
    <n v="23070"/>
    <n v="4"/>
    <s v="Y"/>
    <x v="1"/>
    <n v="25"/>
    <n v="4"/>
    <n v="1"/>
    <n v="80"/>
    <n v="1"/>
    <n v="10"/>
    <n v="3"/>
    <n v="3"/>
    <n v="3"/>
    <n v="2"/>
    <n v="1"/>
    <n v="2"/>
    <x v="1"/>
    <x v="0"/>
    <x v="0"/>
  </r>
  <r>
    <n v="29"/>
    <x v="1"/>
    <s v="Travel_Frequently"/>
    <n v="410"/>
    <x v="1"/>
    <n v="2"/>
    <n v="1"/>
    <s v="Life Sciences"/>
    <n v="1"/>
    <n v="1513"/>
    <n v="4"/>
    <s v="Female"/>
    <n v="97"/>
    <n v="3"/>
    <n v="1"/>
    <x v="2"/>
    <n v="2"/>
    <s v="Married"/>
    <n v="3180"/>
    <n v="4668"/>
    <n v="0"/>
    <s v="Y"/>
    <x v="1"/>
    <n v="13"/>
    <n v="3"/>
    <n v="3"/>
    <n v="80"/>
    <n v="3"/>
    <n v="4"/>
    <n v="3"/>
    <n v="3"/>
    <n v="3"/>
    <n v="2"/>
    <n v="0"/>
    <n v="2"/>
    <x v="1"/>
    <x v="2"/>
    <x v="0"/>
  </r>
  <r>
    <n v="28"/>
    <x v="1"/>
    <s v="Travel_Rarely"/>
    <n v="1083"/>
    <x v="1"/>
    <n v="29"/>
    <n v="1"/>
    <s v="Life Sciences"/>
    <n v="1"/>
    <n v="1514"/>
    <n v="3"/>
    <s v="Male"/>
    <n v="96"/>
    <n v="1"/>
    <n v="2"/>
    <x v="3"/>
    <n v="2"/>
    <s v="Married"/>
    <n v="6549"/>
    <n v="3173"/>
    <n v="1"/>
    <s v="Y"/>
    <x v="1"/>
    <n v="14"/>
    <n v="3"/>
    <n v="2"/>
    <n v="80"/>
    <n v="2"/>
    <n v="8"/>
    <n v="2"/>
    <n v="2"/>
    <n v="8"/>
    <n v="6"/>
    <n v="1"/>
    <n v="7"/>
    <x v="1"/>
    <x v="2"/>
    <x v="0"/>
  </r>
  <r>
    <n v="33"/>
    <x v="1"/>
    <s v="Travel_Rarely"/>
    <n v="516"/>
    <x v="1"/>
    <n v="8"/>
    <n v="5"/>
    <s v="Life Sciences"/>
    <n v="1"/>
    <n v="1515"/>
    <n v="4"/>
    <s v="Male"/>
    <n v="69"/>
    <n v="3"/>
    <n v="2"/>
    <x v="4"/>
    <n v="3"/>
    <s v="Single"/>
    <n v="6388"/>
    <n v="22049"/>
    <n v="2"/>
    <s v="Y"/>
    <x v="0"/>
    <n v="17"/>
    <n v="3"/>
    <n v="1"/>
    <n v="80"/>
    <n v="0"/>
    <n v="14"/>
    <n v="6"/>
    <n v="3"/>
    <n v="0"/>
    <n v="0"/>
    <n v="0"/>
    <n v="0"/>
    <x v="1"/>
    <x v="1"/>
    <x v="0"/>
  </r>
  <r>
    <n v="32"/>
    <x v="1"/>
    <s v="Travel_Rarely"/>
    <n v="495"/>
    <x v="1"/>
    <n v="10"/>
    <n v="3"/>
    <s v="Medical"/>
    <n v="1"/>
    <n v="1516"/>
    <n v="3"/>
    <s v="Male"/>
    <n v="64"/>
    <n v="3"/>
    <n v="3"/>
    <x v="5"/>
    <n v="4"/>
    <s v="Single"/>
    <n v="11244"/>
    <n v="21072"/>
    <n v="2"/>
    <s v="Y"/>
    <x v="1"/>
    <n v="25"/>
    <n v="4"/>
    <n v="2"/>
    <n v="80"/>
    <n v="0"/>
    <n v="10"/>
    <n v="5"/>
    <n v="4"/>
    <n v="5"/>
    <n v="2"/>
    <n v="0"/>
    <n v="0"/>
    <x v="1"/>
    <x v="1"/>
    <x v="2"/>
  </r>
  <r>
    <n v="54"/>
    <x v="1"/>
    <s v="Travel_Frequently"/>
    <n v="1050"/>
    <x v="1"/>
    <n v="11"/>
    <n v="4"/>
    <s v="Medical"/>
    <n v="1"/>
    <n v="1520"/>
    <n v="2"/>
    <s v="Female"/>
    <n v="87"/>
    <n v="3"/>
    <n v="4"/>
    <x v="5"/>
    <n v="4"/>
    <s v="Divorced"/>
    <n v="16032"/>
    <n v="24456"/>
    <n v="3"/>
    <s v="Y"/>
    <x v="1"/>
    <n v="20"/>
    <n v="4"/>
    <n v="1"/>
    <n v="80"/>
    <n v="1"/>
    <n v="26"/>
    <n v="2"/>
    <n v="3"/>
    <n v="14"/>
    <n v="9"/>
    <n v="1"/>
    <n v="12"/>
    <x v="1"/>
    <x v="3"/>
    <x v="2"/>
  </r>
  <r>
    <n v="29"/>
    <x v="0"/>
    <s v="Travel_Rarely"/>
    <n v="224"/>
    <x v="1"/>
    <n v="1"/>
    <n v="4"/>
    <s v="Technical Degree"/>
    <n v="1"/>
    <n v="1522"/>
    <n v="1"/>
    <s v="Male"/>
    <n v="100"/>
    <n v="2"/>
    <n v="1"/>
    <x v="1"/>
    <n v="1"/>
    <s v="Single"/>
    <n v="2362"/>
    <n v="7568"/>
    <n v="6"/>
    <s v="Y"/>
    <x v="1"/>
    <n v="13"/>
    <n v="3"/>
    <n v="3"/>
    <n v="80"/>
    <n v="0"/>
    <n v="11"/>
    <n v="2"/>
    <n v="1"/>
    <n v="9"/>
    <n v="7"/>
    <n v="0"/>
    <n v="7"/>
    <x v="0"/>
    <x v="2"/>
    <x v="1"/>
  </r>
  <r>
    <n v="44"/>
    <x v="1"/>
    <s v="Travel_Rarely"/>
    <n v="136"/>
    <x v="1"/>
    <n v="28"/>
    <n v="3"/>
    <s v="Life Sciences"/>
    <n v="1"/>
    <n v="1523"/>
    <n v="4"/>
    <s v="Male"/>
    <n v="32"/>
    <n v="3"/>
    <n v="4"/>
    <x v="7"/>
    <n v="1"/>
    <s v="Married"/>
    <n v="16328"/>
    <n v="22074"/>
    <n v="3"/>
    <s v="Y"/>
    <x v="1"/>
    <n v="13"/>
    <n v="3"/>
    <n v="3"/>
    <n v="80"/>
    <n v="1"/>
    <n v="24"/>
    <n v="1"/>
    <n v="4"/>
    <n v="20"/>
    <n v="6"/>
    <n v="14"/>
    <n v="17"/>
    <x v="1"/>
    <x v="0"/>
    <x v="2"/>
  </r>
  <r>
    <n v="39"/>
    <x v="1"/>
    <s v="Travel_Rarely"/>
    <n v="1089"/>
    <x v="1"/>
    <n v="6"/>
    <n v="3"/>
    <s v="Life Sciences"/>
    <n v="1"/>
    <n v="1525"/>
    <n v="2"/>
    <s v="Female"/>
    <n v="32"/>
    <n v="3"/>
    <n v="3"/>
    <x v="3"/>
    <n v="2"/>
    <s v="Single"/>
    <n v="8376"/>
    <n v="9150"/>
    <n v="4"/>
    <s v="Y"/>
    <x v="1"/>
    <n v="18"/>
    <n v="3"/>
    <n v="4"/>
    <n v="80"/>
    <n v="0"/>
    <n v="9"/>
    <n v="3"/>
    <n v="3"/>
    <n v="2"/>
    <n v="0"/>
    <n v="2"/>
    <n v="2"/>
    <x v="1"/>
    <x v="1"/>
    <x v="2"/>
  </r>
  <r>
    <n v="46"/>
    <x v="1"/>
    <s v="Travel_Rarely"/>
    <n v="228"/>
    <x v="0"/>
    <n v="3"/>
    <n v="3"/>
    <s v="Life Sciences"/>
    <n v="1"/>
    <n v="1527"/>
    <n v="3"/>
    <s v="Female"/>
    <n v="51"/>
    <n v="3"/>
    <n v="4"/>
    <x v="5"/>
    <n v="2"/>
    <s v="Married"/>
    <n v="16606"/>
    <n v="11380"/>
    <n v="8"/>
    <s v="Y"/>
    <x v="1"/>
    <n v="12"/>
    <n v="3"/>
    <n v="4"/>
    <n v="80"/>
    <n v="1"/>
    <n v="23"/>
    <n v="2"/>
    <n v="4"/>
    <n v="13"/>
    <n v="12"/>
    <n v="5"/>
    <n v="1"/>
    <x v="1"/>
    <x v="0"/>
    <x v="2"/>
  </r>
  <r>
    <n v="35"/>
    <x v="1"/>
    <s v="Travel_Rarely"/>
    <n v="1029"/>
    <x v="1"/>
    <n v="16"/>
    <n v="3"/>
    <s v="Life Sciences"/>
    <n v="1"/>
    <n v="1529"/>
    <n v="4"/>
    <s v="Female"/>
    <n v="91"/>
    <n v="2"/>
    <n v="3"/>
    <x v="4"/>
    <n v="2"/>
    <s v="Single"/>
    <n v="8606"/>
    <n v="21195"/>
    <n v="1"/>
    <s v="Y"/>
    <x v="1"/>
    <n v="19"/>
    <n v="3"/>
    <n v="4"/>
    <n v="80"/>
    <n v="0"/>
    <n v="11"/>
    <n v="3"/>
    <n v="1"/>
    <n v="11"/>
    <n v="8"/>
    <n v="3"/>
    <n v="3"/>
    <x v="1"/>
    <x v="1"/>
    <x v="2"/>
  </r>
  <r>
    <n v="23"/>
    <x v="1"/>
    <s v="Travel_Rarely"/>
    <n v="507"/>
    <x v="1"/>
    <n v="20"/>
    <n v="1"/>
    <s v="Life Sciences"/>
    <n v="1"/>
    <n v="1533"/>
    <n v="1"/>
    <s v="Male"/>
    <n v="97"/>
    <n v="3"/>
    <n v="2"/>
    <x v="2"/>
    <n v="3"/>
    <s v="Single"/>
    <n v="2272"/>
    <n v="24812"/>
    <n v="0"/>
    <s v="Y"/>
    <x v="1"/>
    <n v="14"/>
    <n v="3"/>
    <n v="2"/>
    <n v="80"/>
    <n v="0"/>
    <n v="5"/>
    <n v="2"/>
    <n v="3"/>
    <n v="4"/>
    <n v="3"/>
    <n v="1"/>
    <n v="2"/>
    <x v="1"/>
    <x v="2"/>
    <x v="1"/>
  </r>
  <r>
    <n v="40"/>
    <x v="0"/>
    <s v="Travel_Rarely"/>
    <n v="676"/>
    <x v="1"/>
    <n v="9"/>
    <n v="4"/>
    <s v="Life Sciences"/>
    <n v="1"/>
    <n v="1534"/>
    <n v="4"/>
    <s v="Male"/>
    <n v="86"/>
    <n v="3"/>
    <n v="1"/>
    <x v="2"/>
    <n v="1"/>
    <s v="Single"/>
    <n v="2018"/>
    <n v="21831"/>
    <n v="3"/>
    <s v="Y"/>
    <x v="1"/>
    <n v="14"/>
    <n v="3"/>
    <n v="2"/>
    <n v="80"/>
    <n v="0"/>
    <n v="15"/>
    <n v="3"/>
    <n v="1"/>
    <n v="5"/>
    <n v="4"/>
    <n v="1"/>
    <n v="0"/>
    <x v="0"/>
    <x v="0"/>
    <x v="1"/>
  </r>
  <r>
    <n v="34"/>
    <x v="1"/>
    <s v="Travel_Rarely"/>
    <n v="971"/>
    <x v="0"/>
    <n v="1"/>
    <n v="3"/>
    <s v="Technical Degree"/>
    <n v="1"/>
    <n v="1535"/>
    <n v="4"/>
    <s v="Male"/>
    <n v="64"/>
    <n v="2"/>
    <n v="3"/>
    <x v="0"/>
    <n v="3"/>
    <s v="Married"/>
    <n v="7083"/>
    <n v="12288"/>
    <n v="1"/>
    <s v="Y"/>
    <x v="0"/>
    <n v="14"/>
    <n v="3"/>
    <n v="4"/>
    <n v="80"/>
    <n v="0"/>
    <n v="10"/>
    <n v="3"/>
    <n v="3"/>
    <n v="10"/>
    <n v="9"/>
    <n v="8"/>
    <n v="6"/>
    <x v="1"/>
    <x v="1"/>
    <x v="2"/>
  </r>
  <r>
    <n v="31"/>
    <x v="0"/>
    <s v="Travel_Frequently"/>
    <n v="561"/>
    <x v="1"/>
    <n v="3"/>
    <n v="3"/>
    <s v="Life Sciences"/>
    <n v="1"/>
    <n v="1537"/>
    <n v="4"/>
    <s v="Female"/>
    <n v="33"/>
    <n v="3"/>
    <n v="1"/>
    <x v="1"/>
    <n v="3"/>
    <s v="Single"/>
    <n v="4084"/>
    <n v="4156"/>
    <n v="1"/>
    <s v="Y"/>
    <x v="1"/>
    <n v="12"/>
    <n v="3"/>
    <n v="1"/>
    <n v="80"/>
    <n v="0"/>
    <n v="7"/>
    <n v="2"/>
    <n v="1"/>
    <n v="7"/>
    <n v="2"/>
    <n v="7"/>
    <n v="7"/>
    <x v="0"/>
    <x v="1"/>
    <x v="0"/>
  </r>
  <r>
    <n v="50"/>
    <x v="1"/>
    <s v="Travel_Frequently"/>
    <n v="333"/>
    <x v="1"/>
    <n v="22"/>
    <n v="5"/>
    <s v="Medical"/>
    <n v="1"/>
    <n v="1539"/>
    <n v="3"/>
    <s v="Male"/>
    <n v="88"/>
    <n v="1"/>
    <n v="4"/>
    <x v="7"/>
    <n v="4"/>
    <s v="Single"/>
    <n v="14411"/>
    <n v="24450"/>
    <n v="1"/>
    <s v="Y"/>
    <x v="0"/>
    <n v="13"/>
    <n v="3"/>
    <n v="4"/>
    <n v="80"/>
    <n v="0"/>
    <n v="32"/>
    <n v="2"/>
    <n v="3"/>
    <n v="32"/>
    <n v="6"/>
    <n v="13"/>
    <n v="9"/>
    <x v="1"/>
    <x v="3"/>
    <x v="2"/>
  </r>
  <r>
    <n v="34"/>
    <x v="1"/>
    <s v="Travel_Rarely"/>
    <n v="1440"/>
    <x v="0"/>
    <n v="7"/>
    <n v="2"/>
    <s v="Technical Degree"/>
    <n v="1"/>
    <n v="1541"/>
    <n v="2"/>
    <s v="Male"/>
    <n v="55"/>
    <n v="3"/>
    <n v="1"/>
    <x v="6"/>
    <n v="3"/>
    <s v="Married"/>
    <n v="2308"/>
    <n v="4944"/>
    <n v="0"/>
    <s v="Y"/>
    <x v="0"/>
    <n v="25"/>
    <n v="4"/>
    <n v="2"/>
    <n v="80"/>
    <n v="1"/>
    <n v="12"/>
    <n v="4"/>
    <n v="3"/>
    <n v="11"/>
    <n v="10"/>
    <n v="5"/>
    <n v="7"/>
    <x v="1"/>
    <x v="1"/>
    <x v="1"/>
  </r>
  <r>
    <n v="42"/>
    <x v="1"/>
    <s v="Travel_Rarely"/>
    <n v="1210"/>
    <x v="1"/>
    <n v="2"/>
    <n v="3"/>
    <s v="Medical"/>
    <n v="1"/>
    <n v="1542"/>
    <n v="3"/>
    <s v="Male"/>
    <n v="68"/>
    <n v="2"/>
    <n v="1"/>
    <x v="2"/>
    <n v="2"/>
    <s v="Married"/>
    <n v="4841"/>
    <n v="24052"/>
    <n v="4"/>
    <s v="Y"/>
    <x v="1"/>
    <n v="14"/>
    <n v="3"/>
    <n v="2"/>
    <n v="80"/>
    <n v="1"/>
    <n v="4"/>
    <n v="3"/>
    <n v="3"/>
    <n v="1"/>
    <n v="0"/>
    <n v="0"/>
    <n v="0"/>
    <x v="1"/>
    <x v="0"/>
    <x v="0"/>
  </r>
  <r>
    <n v="37"/>
    <x v="1"/>
    <s v="Travel_Rarely"/>
    <n v="674"/>
    <x v="1"/>
    <n v="13"/>
    <n v="3"/>
    <s v="Medical"/>
    <n v="1"/>
    <n v="1543"/>
    <n v="1"/>
    <s v="Male"/>
    <n v="47"/>
    <n v="3"/>
    <n v="2"/>
    <x v="1"/>
    <n v="4"/>
    <s v="Married"/>
    <n v="4285"/>
    <n v="3031"/>
    <n v="1"/>
    <s v="Y"/>
    <x v="1"/>
    <n v="17"/>
    <n v="3"/>
    <n v="1"/>
    <n v="80"/>
    <n v="0"/>
    <n v="10"/>
    <n v="2"/>
    <n v="3"/>
    <n v="10"/>
    <n v="8"/>
    <n v="3"/>
    <n v="7"/>
    <x v="1"/>
    <x v="1"/>
    <x v="0"/>
  </r>
  <r>
    <n v="29"/>
    <x v="1"/>
    <s v="Travel_Rarely"/>
    <n v="441"/>
    <x v="1"/>
    <n v="8"/>
    <n v="1"/>
    <s v="Other"/>
    <n v="1"/>
    <n v="1544"/>
    <n v="3"/>
    <s v="Female"/>
    <n v="39"/>
    <n v="1"/>
    <n v="2"/>
    <x v="4"/>
    <n v="1"/>
    <s v="Married"/>
    <n v="9715"/>
    <n v="7288"/>
    <n v="3"/>
    <s v="Y"/>
    <x v="1"/>
    <n v="13"/>
    <n v="3"/>
    <n v="3"/>
    <n v="80"/>
    <n v="1"/>
    <n v="9"/>
    <n v="3"/>
    <n v="3"/>
    <n v="7"/>
    <n v="7"/>
    <n v="0"/>
    <n v="7"/>
    <x v="1"/>
    <x v="2"/>
    <x v="2"/>
  </r>
  <r>
    <n v="33"/>
    <x v="1"/>
    <s v="Travel_Rarely"/>
    <n v="575"/>
    <x v="1"/>
    <n v="25"/>
    <n v="3"/>
    <s v="Life Sciences"/>
    <n v="1"/>
    <n v="1545"/>
    <n v="4"/>
    <s v="Male"/>
    <n v="44"/>
    <n v="2"/>
    <n v="2"/>
    <x v="3"/>
    <n v="2"/>
    <s v="Single"/>
    <n v="4320"/>
    <n v="24152"/>
    <n v="1"/>
    <s v="Y"/>
    <x v="1"/>
    <n v="13"/>
    <n v="3"/>
    <n v="4"/>
    <n v="80"/>
    <n v="0"/>
    <n v="5"/>
    <n v="2"/>
    <n v="3"/>
    <n v="5"/>
    <n v="3"/>
    <n v="0"/>
    <n v="2"/>
    <x v="1"/>
    <x v="1"/>
    <x v="0"/>
  </r>
  <r>
    <n v="45"/>
    <x v="1"/>
    <s v="Travel_Rarely"/>
    <n v="950"/>
    <x v="1"/>
    <n v="28"/>
    <n v="3"/>
    <s v="Technical Degree"/>
    <n v="1"/>
    <n v="1546"/>
    <n v="4"/>
    <s v="Male"/>
    <n v="97"/>
    <n v="3"/>
    <n v="1"/>
    <x v="1"/>
    <n v="4"/>
    <s v="Married"/>
    <n v="2132"/>
    <n v="4585"/>
    <n v="4"/>
    <s v="Y"/>
    <x v="1"/>
    <n v="20"/>
    <n v="4"/>
    <n v="4"/>
    <n v="80"/>
    <n v="1"/>
    <n v="8"/>
    <n v="3"/>
    <n v="3"/>
    <n v="5"/>
    <n v="4"/>
    <n v="0"/>
    <n v="3"/>
    <x v="1"/>
    <x v="0"/>
    <x v="1"/>
  </r>
  <r>
    <n v="42"/>
    <x v="1"/>
    <s v="Travel_Frequently"/>
    <n v="288"/>
    <x v="1"/>
    <n v="2"/>
    <n v="3"/>
    <s v="Life Sciences"/>
    <n v="1"/>
    <n v="1547"/>
    <n v="4"/>
    <s v="Male"/>
    <n v="40"/>
    <n v="3"/>
    <n v="3"/>
    <x v="4"/>
    <n v="4"/>
    <s v="Married"/>
    <n v="10124"/>
    <n v="18611"/>
    <n v="2"/>
    <s v="Y"/>
    <x v="0"/>
    <n v="14"/>
    <n v="3"/>
    <n v="3"/>
    <n v="80"/>
    <n v="1"/>
    <n v="24"/>
    <n v="3"/>
    <n v="1"/>
    <n v="20"/>
    <n v="8"/>
    <n v="13"/>
    <n v="9"/>
    <x v="1"/>
    <x v="0"/>
    <x v="2"/>
  </r>
  <r>
    <n v="40"/>
    <x v="1"/>
    <s v="Travel_Rarely"/>
    <n v="1342"/>
    <x v="0"/>
    <n v="9"/>
    <n v="2"/>
    <s v="Medical"/>
    <n v="1"/>
    <n v="1548"/>
    <n v="1"/>
    <s v="Male"/>
    <n v="47"/>
    <n v="3"/>
    <n v="2"/>
    <x v="0"/>
    <n v="1"/>
    <s v="Married"/>
    <n v="5473"/>
    <n v="19345"/>
    <n v="0"/>
    <s v="Y"/>
    <x v="1"/>
    <n v="12"/>
    <n v="3"/>
    <n v="4"/>
    <n v="80"/>
    <n v="0"/>
    <n v="9"/>
    <n v="5"/>
    <n v="4"/>
    <n v="8"/>
    <n v="4"/>
    <n v="7"/>
    <n v="1"/>
    <x v="1"/>
    <x v="0"/>
    <x v="0"/>
  </r>
  <r>
    <n v="33"/>
    <x v="1"/>
    <s v="Travel_Rarely"/>
    <n v="589"/>
    <x v="1"/>
    <n v="28"/>
    <n v="4"/>
    <s v="Life Sciences"/>
    <n v="1"/>
    <n v="1549"/>
    <n v="2"/>
    <s v="Male"/>
    <n v="79"/>
    <n v="3"/>
    <n v="2"/>
    <x v="2"/>
    <n v="3"/>
    <s v="Married"/>
    <n v="5207"/>
    <n v="22949"/>
    <n v="1"/>
    <s v="Y"/>
    <x v="0"/>
    <n v="12"/>
    <n v="3"/>
    <n v="2"/>
    <n v="80"/>
    <n v="1"/>
    <n v="15"/>
    <n v="3"/>
    <n v="3"/>
    <n v="15"/>
    <n v="14"/>
    <n v="5"/>
    <n v="7"/>
    <x v="1"/>
    <x v="1"/>
    <x v="0"/>
  </r>
  <r>
    <n v="40"/>
    <x v="1"/>
    <s v="Travel_Rarely"/>
    <n v="898"/>
    <x v="2"/>
    <n v="6"/>
    <n v="2"/>
    <s v="Medical"/>
    <n v="1"/>
    <n v="1550"/>
    <n v="3"/>
    <s v="Male"/>
    <n v="38"/>
    <n v="3"/>
    <n v="4"/>
    <x v="5"/>
    <n v="4"/>
    <s v="Single"/>
    <n v="16437"/>
    <n v="17381"/>
    <n v="1"/>
    <s v="Y"/>
    <x v="0"/>
    <n v="21"/>
    <n v="4"/>
    <n v="4"/>
    <n v="80"/>
    <n v="0"/>
    <n v="21"/>
    <n v="2"/>
    <n v="3"/>
    <n v="21"/>
    <n v="7"/>
    <n v="7"/>
    <n v="7"/>
    <x v="1"/>
    <x v="0"/>
    <x v="2"/>
  </r>
  <r>
    <n v="24"/>
    <x v="1"/>
    <s v="Travel_Rarely"/>
    <n v="350"/>
    <x v="1"/>
    <n v="21"/>
    <n v="2"/>
    <s v="Technical Degree"/>
    <n v="1"/>
    <n v="1551"/>
    <n v="3"/>
    <s v="Male"/>
    <n v="57"/>
    <n v="2"/>
    <n v="1"/>
    <x v="2"/>
    <n v="1"/>
    <s v="Divorced"/>
    <n v="2296"/>
    <n v="10036"/>
    <n v="0"/>
    <s v="Y"/>
    <x v="1"/>
    <n v="14"/>
    <n v="3"/>
    <n v="2"/>
    <n v="80"/>
    <n v="3"/>
    <n v="2"/>
    <n v="3"/>
    <n v="3"/>
    <n v="1"/>
    <n v="1"/>
    <n v="0"/>
    <n v="0"/>
    <x v="1"/>
    <x v="2"/>
    <x v="1"/>
  </r>
  <r>
    <n v="40"/>
    <x v="1"/>
    <s v="Non-Travel"/>
    <n v="1142"/>
    <x v="1"/>
    <n v="8"/>
    <n v="2"/>
    <s v="Life Sciences"/>
    <n v="1"/>
    <n v="1552"/>
    <n v="4"/>
    <s v="Male"/>
    <n v="72"/>
    <n v="3"/>
    <n v="2"/>
    <x v="4"/>
    <n v="4"/>
    <s v="Divorced"/>
    <n v="4069"/>
    <n v="8841"/>
    <n v="3"/>
    <s v="Y"/>
    <x v="0"/>
    <n v="18"/>
    <n v="3"/>
    <n v="3"/>
    <n v="80"/>
    <n v="0"/>
    <n v="8"/>
    <n v="2"/>
    <n v="3"/>
    <n v="2"/>
    <n v="2"/>
    <n v="2"/>
    <n v="2"/>
    <x v="1"/>
    <x v="0"/>
    <x v="0"/>
  </r>
  <r>
    <n v="45"/>
    <x v="1"/>
    <s v="Travel_Rarely"/>
    <n v="538"/>
    <x v="1"/>
    <n v="1"/>
    <n v="4"/>
    <s v="Technical Degree"/>
    <n v="1"/>
    <n v="1553"/>
    <n v="1"/>
    <s v="Male"/>
    <n v="66"/>
    <n v="3"/>
    <n v="3"/>
    <x v="4"/>
    <n v="2"/>
    <s v="Divorced"/>
    <n v="7441"/>
    <n v="20933"/>
    <n v="1"/>
    <s v="Y"/>
    <x v="1"/>
    <n v="12"/>
    <n v="3"/>
    <n v="1"/>
    <n v="80"/>
    <n v="3"/>
    <n v="10"/>
    <n v="4"/>
    <n v="3"/>
    <n v="10"/>
    <n v="8"/>
    <n v="7"/>
    <n v="7"/>
    <x v="1"/>
    <x v="0"/>
    <x v="2"/>
  </r>
  <r>
    <n v="35"/>
    <x v="1"/>
    <s v="Travel_Rarely"/>
    <n v="1402"/>
    <x v="0"/>
    <n v="28"/>
    <n v="4"/>
    <s v="Life Sciences"/>
    <n v="1"/>
    <n v="1554"/>
    <n v="2"/>
    <s v="Female"/>
    <n v="98"/>
    <n v="2"/>
    <n v="1"/>
    <x v="6"/>
    <n v="3"/>
    <s v="Married"/>
    <n v="2430"/>
    <n v="26204"/>
    <n v="0"/>
    <s v="Y"/>
    <x v="1"/>
    <n v="23"/>
    <n v="4"/>
    <n v="1"/>
    <n v="80"/>
    <n v="2"/>
    <n v="6"/>
    <n v="5"/>
    <n v="3"/>
    <n v="5"/>
    <n v="3"/>
    <n v="4"/>
    <n v="2"/>
    <x v="1"/>
    <x v="1"/>
    <x v="1"/>
  </r>
  <r>
    <n v="32"/>
    <x v="1"/>
    <s v="Travel_Rarely"/>
    <n v="824"/>
    <x v="1"/>
    <n v="5"/>
    <n v="2"/>
    <s v="Life Sciences"/>
    <n v="1"/>
    <n v="1555"/>
    <n v="4"/>
    <s v="Female"/>
    <n v="67"/>
    <n v="2"/>
    <n v="2"/>
    <x v="1"/>
    <n v="2"/>
    <s v="Married"/>
    <n v="5878"/>
    <n v="15624"/>
    <n v="3"/>
    <s v="Y"/>
    <x v="1"/>
    <n v="12"/>
    <n v="3"/>
    <n v="1"/>
    <n v="80"/>
    <n v="1"/>
    <n v="12"/>
    <n v="2"/>
    <n v="3"/>
    <n v="7"/>
    <n v="1"/>
    <n v="2"/>
    <n v="5"/>
    <x v="1"/>
    <x v="1"/>
    <x v="0"/>
  </r>
  <r>
    <n v="36"/>
    <x v="1"/>
    <s v="Travel_Rarely"/>
    <n v="1157"/>
    <x v="0"/>
    <n v="2"/>
    <n v="4"/>
    <s v="Life Sciences"/>
    <n v="1"/>
    <n v="1556"/>
    <n v="3"/>
    <s v="Male"/>
    <n v="70"/>
    <n v="3"/>
    <n v="1"/>
    <x v="6"/>
    <n v="4"/>
    <s v="Single"/>
    <n v="2644"/>
    <n v="17001"/>
    <n v="3"/>
    <s v="Y"/>
    <x v="0"/>
    <n v="21"/>
    <n v="4"/>
    <n v="4"/>
    <n v="80"/>
    <n v="0"/>
    <n v="7"/>
    <n v="3"/>
    <n v="2"/>
    <n v="3"/>
    <n v="2"/>
    <n v="1"/>
    <n v="2"/>
    <x v="1"/>
    <x v="1"/>
    <x v="1"/>
  </r>
  <r>
    <n v="48"/>
    <x v="1"/>
    <s v="Travel_Rarely"/>
    <n v="492"/>
    <x v="0"/>
    <n v="16"/>
    <n v="4"/>
    <s v="Life Sciences"/>
    <n v="1"/>
    <n v="1557"/>
    <n v="3"/>
    <s v="Female"/>
    <n v="96"/>
    <n v="3"/>
    <n v="2"/>
    <x v="0"/>
    <n v="3"/>
    <s v="Divorced"/>
    <n v="6439"/>
    <n v="13693"/>
    <n v="8"/>
    <s v="Y"/>
    <x v="1"/>
    <n v="14"/>
    <n v="3"/>
    <n v="3"/>
    <n v="80"/>
    <n v="1"/>
    <n v="18"/>
    <n v="2"/>
    <n v="3"/>
    <n v="8"/>
    <n v="7"/>
    <n v="7"/>
    <n v="7"/>
    <x v="1"/>
    <x v="0"/>
    <x v="0"/>
  </r>
  <r>
    <n v="29"/>
    <x v="1"/>
    <s v="Travel_Rarely"/>
    <n v="598"/>
    <x v="1"/>
    <n v="9"/>
    <n v="3"/>
    <s v="Life Sciences"/>
    <n v="1"/>
    <n v="1558"/>
    <n v="3"/>
    <s v="Male"/>
    <n v="91"/>
    <n v="4"/>
    <n v="1"/>
    <x v="1"/>
    <n v="3"/>
    <s v="Married"/>
    <n v="2451"/>
    <n v="22376"/>
    <n v="6"/>
    <s v="Y"/>
    <x v="1"/>
    <n v="18"/>
    <n v="3"/>
    <n v="1"/>
    <n v="80"/>
    <n v="2"/>
    <n v="5"/>
    <n v="2"/>
    <n v="2"/>
    <n v="1"/>
    <n v="0"/>
    <n v="0"/>
    <n v="0"/>
    <x v="1"/>
    <x v="2"/>
    <x v="1"/>
  </r>
  <r>
    <n v="33"/>
    <x v="1"/>
    <s v="Travel_Rarely"/>
    <n v="1242"/>
    <x v="0"/>
    <n v="8"/>
    <n v="4"/>
    <s v="Life Sciences"/>
    <n v="1"/>
    <n v="1560"/>
    <n v="1"/>
    <s v="Male"/>
    <n v="46"/>
    <n v="3"/>
    <n v="2"/>
    <x v="0"/>
    <n v="1"/>
    <s v="Married"/>
    <n v="6392"/>
    <n v="10589"/>
    <n v="2"/>
    <s v="Y"/>
    <x v="1"/>
    <n v="13"/>
    <n v="3"/>
    <n v="4"/>
    <n v="80"/>
    <n v="1"/>
    <n v="8"/>
    <n v="6"/>
    <n v="1"/>
    <n v="2"/>
    <n v="2"/>
    <n v="2"/>
    <n v="2"/>
    <x v="1"/>
    <x v="1"/>
    <x v="0"/>
  </r>
  <r>
    <n v="30"/>
    <x v="0"/>
    <s v="Travel_Rarely"/>
    <n v="740"/>
    <x v="0"/>
    <n v="1"/>
    <n v="3"/>
    <s v="Life Sciences"/>
    <n v="1"/>
    <n v="1562"/>
    <n v="2"/>
    <s v="Male"/>
    <n v="64"/>
    <n v="2"/>
    <n v="2"/>
    <x v="0"/>
    <n v="1"/>
    <s v="Married"/>
    <n v="9714"/>
    <n v="5323"/>
    <n v="1"/>
    <s v="Y"/>
    <x v="1"/>
    <n v="11"/>
    <n v="3"/>
    <n v="4"/>
    <n v="80"/>
    <n v="1"/>
    <n v="10"/>
    <n v="4"/>
    <n v="3"/>
    <n v="10"/>
    <n v="8"/>
    <n v="6"/>
    <n v="7"/>
    <x v="0"/>
    <x v="1"/>
    <x v="2"/>
  </r>
  <r>
    <n v="38"/>
    <x v="1"/>
    <s v="Travel_Frequently"/>
    <n v="888"/>
    <x v="2"/>
    <n v="10"/>
    <n v="4"/>
    <s v="Human Resources"/>
    <n v="1"/>
    <n v="1563"/>
    <n v="3"/>
    <s v="Male"/>
    <n v="71"/>
    <n v="3"/>
    <n v="2"/>
    <x v="8"/>
    <n v="3"/>
    <s v="Married"/>
    <n v="6077"/>
    <n v="14814"/>
    <n v="3"/>
    <s v="Y"/>
    <x v="1"/>
    <n v="11"/>
    <n v="3"/>
    <n v="3"/>
    <n v="80"/>
    <n v="0"/>
    <n v="10"/>
    <n v="2"/>
    <n v="3"/>
    <n v="6"/>
    <n v="3"/>
    <n v="1"/>
    <n v="2"/>
    <x v="1"/>
    <x v="1"/>
    <x v="0"/>
  </r>
  <r>
    <n v="35"/>
    <x v="1"/>
    <s v="Travel_Rarely"/>
    <n v="992"/>
    <x v="1"/>
    <n v="1"/>
    <n v="3"/>
    <s v="Medical"/>
    <n v="1"/>
    <n v="1564"/>
    <n v="4"/>
    <s v="Male"/>
    <n v="68"/>
    <n v="2"/>
    <n v="1"/>
    <x v="2"/>
    <n v="1"/>
    <s v="Single"/>
    <n v="2450"/>
    <n v="21731"/>
    <n v="1"/>
    <s v="Y"/>
    <x v="1"/>
    <n v="19"/>
    <n v="3"/>
    <n v="2"/>
    <n v="80"/>
    <n v="0"/>
    <n v="3"/>
    <n v="3"/>
    <n v="3"/>
    <n v="3"/>
    <n v="0"/>
    <n v="1"/>
    <n v="2"/>
    <x v="1"/>
    <x v="1"/>
    <x v="1"/>
  </r>
  <r>
    <n v="30"/>
    <x v="1"/>
    <s v="Travel_Rarely"/>
    <n v="1288"/>
    <x v="0"/>
    <n v="29"/>
    <n v="4"/>
    <s v="Technical Degree"/>
    <n v="1"/>
    <n v="1568"/>
    <n v="3"/>
    <s v="Male"/>
    <n v="33"/>
    <n v="3"/>
    <n v="3"/>
    <x v="0"/>
    <n v="2"/>
    <s v="Married"/>
    <n v="9250"/>
    <n v="17799"/>
    <n v="3"/>
    <s v="Y"/>
    <x v="1"/>
    <n v="12"/>
    <n v="3"/>
    <n v="2"/>
    <n v="80"/>
    <n v="1"/>
    <n v="9"/>
    <n v="3"/>
    <n v="3"/>
    <n v="4"/>
    <n v="2"/>
    <n v="1"/>
    <n v="3"/>
    <x v="1"/>
    <x v="1"/>
    <x v="2"/>
  </r>
  <r>
    <n v="35"/>
    <x v="0"/>
    <s v="Travel_Rarely"/>
    <n v="104"/>
    <x v="1"/>
    <n v="2"/>
    <n v="3"/>
    <s v="Life Sciences"/>
    <n v="1"/>
    <n v="1569"/>
    <n v="1"/>
    <s v="Female"/>
    <n v="69"/>
    <n v="3"/>
    <n v="1"/>
    <x v="2"/>
    <n v="1"/>
    <s v="Divorced"/>
    <n v="2074"/>
    <n v="26619"/>
    <n v="1"/>
    <s v="Y"/>
    <x v="0"/>
    <n v="12"/>
    <n v="3"/>
    <n v="4"/>
    <n v="80"/>
    <n v="1"/>
    <n v="1"/>
    <n v="2"/>
    <n v="3"/>
    <n v="1"/>
    <n v="0"/>
    <n v="0"/>
    <n v="0"/>
    <x v="0"/>
    <x v="1"/>
    <x v="1"/>
  </r>
  <r>
    <n v="53"/>
    <x v="0"/>
    <s v="Travel_Rarely"/>
    <n v="607"/>
    <x v="1"/>
    <n v="2"/>
    <n v="5"/>
    <s v="Technical Degree"/>
    <n v="1"/>
    <n v="1572"/>
    <n v="3"/>
    <s v="Female"/>
    <n v="78"/>
    <n v="2"/>
    <n v="3"/>
    <x v="3"/>
    <n v="4"/>
    <s v="Married"/>
    <n v="10169"/>
    <n v="14618"/>
    <n v="0"/>
    <s v="Y"/>
    <x v="1"/>
    <n v="16"/>
    <n v="3"/>
    <n v="2"/>
    <n v="80"/>
    <n v="1"/>
    <n v="34"/>
    <n v="4"/>
    <n v="3"/>
    <n v="33"/>
    <n v="7"/>
    <n v="1"/>
    <n v="9"/>
    <x v="0"/>
    <x v="3"/>
    <x v="2"/>
  </r>
  <r>
    <n v="38"/>
    <x v="0"/>
    <s v="Travel_Rarely"/>
    <n v="903"/>
    <x v="1"/>
    <n v="2"/>
    <n v="3"/>
    <s v="Medical"/>
    <n v="1"/>
    <n v="1573"/>
    <n v="3"/>
    <s v="Male"/>
    <n v="81"/>
    <n v="3"/>
    <n v="2"/>
    <x v="3"/>
    <n v="2"/>
    <s v="Married"/>
    <n v="4855"/>
    <n v="7653"/>
    <n v="4"/>
    <s v="Y"/>
    <x v="1"/>
    <n v="11"/>
    <n v="3"/>
    <n v="1"/>
    <n v="80"/>
    <n v="2"/>
    <n v="7"/>
    <n v="2"/>
    <n v="3"/>
    <n v="5"/>
    <n v="2"/>
    <n v="1"/>
    <n v="4"/>
    <x v="0"/>
    <x v="1"/>
    <x v="0"/>
  </r>
  <r>
    <n v="32"/>
    <x v="1"/>
    <s v="Non-Travel"/>
    <n v="1200"/>
    <x v="1"/>
    <n v="1"/>
    <n v="4"/>
    <s v="Technical Degree"/>
    <n v="1"/>
    <n v="1574"/>
    <n v="4"/>
    <s v="Male"/>
    <n v="62"/>
    <n v="3"/>
    <n v="2"/>
    <x v="1"/>
    <n v="1"/>
    <s v="Married"/>
    <n v="4087"/>
    <n v="25174"/>
    <n v="4"/>
    <s v="Y"/>
    <x v="1"/>
    <n v="14"/>
    <n v="3"/>
    <n v="2"/>
    <n v="80"/>
    <n v="1"/>
    <n v="9"/>
    <n v="3"/>
    <n v="2"/>
    <n v="6"/>
    <n v="5"/>
    <n v="1"/>
    <n v="2"/>
    <x v="1"/>
    <x v="1"/>
    <x v="0"/>
  </r>
  <r>
    <n v="48"/>
    <x v="1"/>
    <s v="Travel_Rarely"/>
    <n v="1108"/>
    <x v="1"/>
    <n v="15"/>
    <n v="4"/>
    <s v="Other"/>
    <n v="1"/>
    <n v="1576"/>
    <n v="3"/>
    <s v="Female"/>
    <n v="65"/>
    <n v="3"/>
    <n v="1"/>
    <x v="1"/>
    <n v="1"/>
    <s v="Married"/>
    <n v="2367"/>
    <n v="16530"/>
    <n v="8"/>
    <s v="Y"/>
    <x v="1"/>
    <n v="12"/>
    <n v="3"/>
    <n v="4"/>
    <n v="80"/>
    <n v="1"/>
    <n v="10"/>
    <n v="3"/>
    <n v="2"/>
    <n v="8"/>
    <n v="2"/>
    <n v="7"/>
    <n v="6"/>
    <x v="1"/>
    <x v="0"/>
    <x v="1"/>
  </r>
  <r>
    <n v="34"/>
    <x v="1"/>
    <s v="Travel_Rarely"/>
    <n v="479"/>
    <x v="1"/>
    <n v="7"/>
    <n v="4"/>
    <s v="Medical"/>
    <n v="1"/>
    <n v="1577"/>
    <n v="1"/>
    <s v="Male"/>
    <n v="35"/>
    <n v="3"/>
    <n v="1"/>
    <x v="1"/>
    <n v="4"/>
    <s v="Single"/>
    <n v="2972"/>
    <n v="22061"/>
    <n v="1"/>
    <s v="Y"/>
    <x v="1"/>
    <n v="13"/>
    <n v="3"/>
    <n v="3"/>
    <n v="80"/>
    <n v="0"/>
    <n v="1"/>
    <n v="4"/>
    <n v="1"/>
    <n v="1"/>
    <n v="0"/>
    <n v="0"/>
    <n v="0"/>
    <x v="1"/>
    <x v="1"/>
    <x v="1"/>
  </r>
  <r>
    <n v="55"/>
    <x v="1"/>
    <s v="Travel_Rarely"/>
    <n v="685"/>
    <x v="0"/>
    <n v="26"/>
    <n v="5"/>
    <s v="Marketing"/>
    <n v="1"/>
    <n v="1578"/>
    <n v="3"/>
    <s v="Male"/>
    <n v="60"/>
    <n v="2"/>
    <n v="5"/>
    <x v="5"/>
    <n v="4"/>
    <s v="Married"/>
    <n v="19586"/>
    <n v="23037"/>
    <n v="1"/>
    <s v="Y"/>
    <x v="1"/>
    <n v="21"/>
    <n v="4"/>
    <n v="3"/>
    <n v="80"/>
    <n v="1"/>
    <n v="36"/>
    <n v="3"/>
    <n v="3"/>
    <n v="36"/>
    <n v="6"/>
    <n v="2"/>
    <n v="13"/>
    <x v="1"/>
    <x v="3"/>
    <x v="2"/>
  </r>
  <r>
    <n v="34"/>
    <x v="1"/>
    <s v="Travel_Rarely"/>
    <n v="1351"/>
    <x v="1"/>
    <n v="1"/>
    <n v="4"/>
    <s v="Life Sciences"/>
    <n v="1"/>
    <n v="1580"/>
    <n v="2"/>
    <s v="Male"/>
    <n v="45"/>
    <n v="3"/>
    <n v="2"/>
    <x v="1"/>
    <n v="4"/>
    <s v="Married"/>
    <n v="5484"/>
    <n v="13008"/>
    <n v="9"/>
    <s v="Y"/>
    <x v="1"/>
    <n v="17"/>
    <n v="3"/>
    <n v="2"/>
    <n v="80"/>
    <n v="1"/>
    <n v="9"/>
    <n v="3"/>
    <n v="2"/>
    <n v="2"/>
    <n v="2"/>
    <n v="2"/>
    <n v="1"/>
    <x v="1"/>
    <x v="1"/>
    <x v="0"/>
  </r>
  <r>
    <n v="26"/>
    <x v="1"/>
    <s v="Travel_Rarely"/>
    <n v="474"/>
    <x v="1"/>
    <n v="3"/>
    <n v="3"/>
    <s v="Life Sciences"/>
    <n v="1"/>
    <n v="1581"/>
    <n v="1"/>
    <s v="Female"/>
    <n v="89"/>
    <n v="3"/>
    <n v="1"/>
    <x v="1"/>
    <n v="4"/>
    <s v="Married"/>
    <n v="2061"/>
    <n v="11133"/>
    <n v="1"/>
    <s v="Y"/>
    <x v="1"/>
    <n v="21"/>
    <n v="4"/>
    <n v="1"/>
    <n v="80"/>
    <n v="0"/>
    <n v="1"/>
    <n v="5"/>
    <n v="3"/>
    <n v="1"/>
    <n v="0"/>
    <n v="0"/>
    <n v="0"/>
    <x v="1"/>
    <x v="2"/>
    <x v="1"/>
  </r>
  <r>
    <n v="38"/>
    <x v="1"/>
    <s v="Travel_Rarely"/>
    <n v="1245"/>
    <x v="0"/>
    <n v="14"/>
    <n v="3"/>
    <s v="Life Sciences"/>
    <n v="1"/>
    <n v="1582"/>
    <n v="3"/>
    <s v="Male"/>
    <n v="80"/>
    <n v="3"/>
    <n v="2"/>
    <x v="0"/>
    <n v="2"/>
    <s v="Married"/>
    <n v="9924"/>
    <n v="12355"/>
    <n v="0"/>
    <s v="Y"/>
    <x v="1"/>
    <n v="11"/>
    <n v="3"/>
    <n v="4"/>
    <n v="80"/>
    <n v="1"/>
    <n v="10"/>
    <n v="3"/>
    <n v="3"/>
    <n v="9"/>
    <n v="8"/>
    <n v="7"/>
    <n v="7"/>
    <x v="1"/>
    <x v="1"/>
    <x v="2"/>
  </r>
  <r>
    <n v="38"/>
    <x v="1"/>
    <s v="Travel_Rarely"/>
    <n v="437"/>
    <x v="0"/>
    <n v="16"/>
    <n v="3"/>
    <s v="Life Sciences"/>
    <n v="1"/>
    <n v="1583"/>
    <n v="2"/>
    <s v="Female"/>
    <n v="90"/>
    <n v="3"/>
    <n v="2"/>
    <x v="0"/>
    <n v="2"/>
    <s v="Single"/>
    <n v="4198"/>
    <n v="16379"/>
    <n v="2"/>
    <s v="Y"/>
    <x v="1"/>
    <n v="12"/>
    <n v="3"/>
    <n v="2"/>
    <n v="80"/>
    <n v="0"/>
    <n v="8"/>
    <n v="5"/>
    <n v="4"/>
    <n v="3"/>
    <n v="2"/>
    <n v="1"/>
    <n v="2"/>
    <x v="1"/>
    <x v="1"/>
    <x v="0"/>
  </r>
  <r>
    <n v="36"/>
    <x v="1"/>
    <s v="Travel_Rarely"/>
    <n v="884"/>
    <x v="0"/>
    <n v="1"/>
    <n v="4"/>
    <s v="Life Sciences"/>
    <n v="1"/>
    <n v="1585"/>
    <n v="2"/>
    <s v="Female"/>
    <n v="73"/>
    <n v="3"/>
    <n v="2"/>
    <x v="0"/>
    <n v="3"/>
    <s v="Single"/>
    <n v="6815"/>
    <n v="21447"/>
    <n v="6"/>
    <s v="Y"/>
    <x v="1"/>
    <n v="13"/>
    <n v="3"/>
    <n v="1"/>
    <n v="80"/>
    <n v="0"/>
    <n v="15"/>
    <n v="5"/>
    <n v="3"/>
    <n v="1"/>
    <n v="0"/>
    <n v="0"/>
    <n v="0"/>
    <x v="1"/>
    <x v="1"/>
    <x v="0"/>
  </r>
  <r>
    <n v="29"/>
    <x v="1"/>
    <s v="Travel_Rarely"/>
    <n v="1370"/>
    <x v="1"/>
    <n v="3"/>
    <n v="1"/>
    <s v="Medical"/>
    <n v="1"/>
    <n v="1586"/>
    <n v="2"/>
    <s v="Male"/>
    <n v="87"/>
    <n v="3"/>
    <n v="1"/>
    <x v="2"/>
    <n v="1"/>
    <s v="Single"/>
    <n v="4723"/>
    <n v="16213"/>
    <n v="1"/>
    <s v="Y"/>
    <x v="0"/>
    <n v="18"/>
    <n v="3"/>
    <n v="4"/>
    <n v="80"/>
    <n v="0"/>
    <n v="10"/>
    <n v="3"/>
    <n v="3"/>
    <n v="10"/>
    <n v="9"/>
    <n v="1"/>
    <n v="5"/>
    <x v="1"/>
    <x v="2"/>
    <x v="0"/>
  </r>
  <r>
    <n v="35"/>
    <x v="1"/>
    <s v="Travel_Rarely"/>
    <n v="670"/>
    <x v="1"/>
    <n v="10"/>
    <n v="4"/>
    <s v="Medical"/>
    <n v="1"/>
    <n v="1587"/>
    <n v="1"/>
    <s v="Female"/>
    <n v="51"/>
    <n v="3"/>
    <n v="2"/>
    <x v="4"/>
    <n v="3"/>
    <s v="Single"/>
    <n v="6142"/>
    <n v="4223"/>
    <n v="3"/>
    <s v="Y"/>
    <x v="0"/>
    <n v="16"/>
    <n v="3"/>
    <n v="3"/>
    <n v="80"/>
    <n v="0"/>
    <n v="10"/>
    <n v="4"/>
    <n v="3"/>
    <n v="5"/>
    <n v="2"/>
    <n v="0"/>
    <n v="4"/>
    <x v="1"/>
    <x v="1"/>
    <x v="0"/>
  </r>
  <r>
    <n v="39"/>
    <x v="1"/>
    <s v="Travel_Rarely"/>
    <n v="1462"/>
    <x v="0"/>
    <n v="6"/>
    <n v="3"/>
    <s v="Medical"/>
    <n v="1"/>
    <n v="1588"/>
    <n v="4"/>
    <s v="Male"/>
    <n v="38"/>
    <n v="4"/>
    <n v="3"/>
    <x v="0"/>
    <n v="3"/>
    <s v="Married"/>
    <n v="8237"/>
    <n v="4658"/>
    <n v="2"/>
    <s v="Y"/>
    <x v="1"/>
    <n v="11"/>
    <n v="3"/>
    <n v="1"/>
    <n v="80"/>
    <n v="1"/>
    <n v="11"/>
    <n v="3"/>
    <n v="3"/>
    <n v="7"/>
    <n v="6"/>
    <n v="7"/>
    <n v="6"/>
    <x v="1"/>
    <x v="1"/>
    <x v="2"/>
  </r>
  <r>
    <n v="29"/>
    <x v="1"/>
    <s v="Travel_Frequently"/>
    <n v="995"/>
    <x v="1"/>
    <n v="2"/>
    <n v="1"/>
    <s v="Life Sciences"/>
    <n v="1"/>
    <n v="1590"/>
    <n v="1"/>
    <s v="Male"/>
    <n v="87"/>
    <n v="3"/>
    <n v="2"/>
    <x v="4"/>
    <n v="4"/>
    <s v="Divorced"/>
    <n v="8853"/>
    <n v="24483"/>
    <n v="1"/>
    <s v="Y"/>
    <x v="1"/>
    <n v="19"/>
    <n v="3"/>
    <n v="4"/>
    <n v="80"/>
    <n v="1"/>
    <n v="6"/>
    <n v="0"/>
    <n v="4"/>
    <n v="6"/>
    <n v="4"/>
    <n v="1"/>
    <n v="3"/>
    <x v="1"/>
    <x v="2"/>
    <x v="2"/>
  </r>
  <r>
    <n v="50"/>
    <x v="1"/>
    <s v="Travel_Rarely"/>
    <n v="264"/>
    <x v="0"/>
    <n v="9"/>
    <n v="3"/>
    <s v="Marketing"/>
    <n v="1"/>
    <n v="1591"/>
    <n v="3"/>
    <s v="Male"/>
    <n v="59"/>
    <n v="3"/>
    <n v="5"/>
    <x v="5"/>
    <n v="3"/>
    <s v="Married"/>
    <n v="19331"/>
    <n v="19519"/>
    <n v="4"/>
    <s v="Y"/>
    <x v="0"/>
    <n v="16"/>
    <n v="3"/>
    <n v="3"/>
    <n v="80"/>
    <n v="1"/>
    <n v="27"/>
    <n v="2"/>
    <n v="3"/>
    <n v="1"/>
    <n v="0"/>
    <n v="0"/>
    <n v="0"/>
    <x v="1"/>
    <x v="3"/>
    <x v="2"/>
  </r>
  <r>
    <n v="23"/>
    <x v="1"/>
    <s v="Travel_Rarely"/>
    <n v="977"/>
    <x v="1"/>
    <n v="10"/>
    <n v="3"/>
    <s v="Technical Degree"/>
    <n v="1"/>
    <n v="1592"/>
    <n v="4"/>
    <s v="Male"/>
    <n v="45"/>
    <n v="4"/>
    <n v="1"/>
    <x v="1"/>
    <n v="3"/>
    <s v="Married"/>
    <n v="2073"/>
    <n v="12826"/>
    <n v="2"/>
    <s v="Y"/>
    <x v="1"/>
    <n v="16"/>
    <n v="3"/>
    <n v="4"/>
    <n v="80"/>
    <n v="1"/>
    <n v="4"/>
    <n v="2"/>
    <n v="3"/>
    <n v="2"/>
    <n v="2"/>
    <n v="2"/>
    <n v="2"/>
    <x v="1"/>
    <x v="2"/>
    <x v="1"/>
  </r>
  <r>
    <n v="36"/>
    <x v="1"/>
    <s v="Travel_Frequently"/>
    <n v="1302"/>
    <x v="1"/>
    <n v="6"/>
    <n v="4"/>
    <s v="Life Sciences"/>
    <n v="1"/>
    <n v="1594"/>
    <n v="1"/>
    <s v="Male"/>
    <n v="80"/>
    <n v="4"/>
    <n v="2"/>
    <x v="2"/>
    <n v="1"/>
    <s v="Married"/>
    <n v="5562"/>
    <n v="19711"/>
    <n v="3"/>
    <s v="Y"/>
    <x v="0"/>
    <n v="13"/>
    <n v="3"/>
    <n v="4"/>
    <n v="80"/>
    <n v="1"/>
    <n v="9"/>
    <n v="3"/>
    <n v="3"/>
    <n v="3"/>
    <n v="2"/>
    <n v="0"/>
    <n v="2"/>
    <x v="1"/>
    <x v="1"/>
    <x v="0"/>
  </r>
  <r>
    <n v="42"/>
    <x v="1"/>
    <s v="Travel_Rarely"/>
    <n v="1059"/>
    <x v="1"/>
    <n v="9"/>
    <n v="2"/>
    <s v="Other"/>
    <n v="1"/>
    <n v="1595"/>
    <n v="4"/>
    <s v="Male"/>
    <n v="93"/>
    <n v="2"/>
    <n v="5"/>
    <x v="5"/>
    <n v="4"/>
    <s v="Single"/>
    <n v="19613"/>
    <n v="26362"/>
    <n v="8"/>
    <s v="Y"/>
    <x v="1"/>
    <n v="22"/>
    <n v="4"/>
    <n v="4"/>
    <n v="80"/>
    <n v="0"/>
    <n v="24"/>
    <n v="2"/>
    <n v="3"/>
    <n v="1"/>
    <n v="0"/>
    <n v="0"/>
    <n v="1"/>
    <x v="1"/>
    <x v="0"/>
    <x v="2"/>
  </r>
  <r>
    <n v="35"/>
    <x v="1"/>
    <s v="Travel_Rarely"/>
    <n v="750"/>
    <x v="1"/>
    <n v="28"/>
    <n v="3"/>
    <s v="Life Sciences"/>
    <n v="1"/>
    <n v="1596"/>
    <n v="2"/>
    <s v="Male"/>
    <n v="46"/>
    <n v="4"/>
    <n v="2"/>
    <x v="2"/>
    <n v="3"/>
    <s v="Married"/>
    <n v="3407"/>
    <n v="25348"/>
    <n v="1"/>
    <s v="Y"/>
    <x v="1"/>
    <n v="17"/>
    <n v="3"/>
    <n v="4"/>
    <n v="80"/>
    <n v="2"/>
    <n v="10"/>
    <n v="3"/>
    <n v="2"/>
    <n v="10"/>
    <n v="9"/>
    <n v="6"/>
    <n v="8"/>
    <x v="1"/>
    <x v="1"/>
    <x v="0"/>
  </r>
  <r>
    <n v="34"/>
    <x v="1"/>
    <s v="Travel_Frequently"/>
    <n v="653"/>
    <x v="1"/>
    <n v="10"/>
    <n v="4"/>
    <s v="Technical Degree"/>
    <n v="1"/>
    <n v="1597"/>
    <n v="4"/>
    <s v="Male"/>
    <n v="92"/>
    <n v="2"/>
    <n v="2"/>
    <x v="4"/>
    <n v="3"/>
    <s v="Married"/>
    <n v="5063"/>
    <n v="15332"/>
    <n v="1"/>
    <s v="Y"/>
    <x v="1"/>
    <n v="14"/>
    <n v="3"/>
    <n v="2"/>
    <n v="80"/>
    <n v="1"/>
    <n v="8"/>
    <n v="3"/>
    <n v="2"/>
    <n v="8"/>
    <n v="2"/>
    <n v="7"/>
    <n v="7"/>
    <x v="1"/>
    <x v="1"/>
    <x v="0"/>
  </r>
  <r>
    <n v="40"/>
    <x v="1"/>
    <s v="Travel_Rarely"/>
    <n v="118"/>
    <x v="0"/>
    <n v="14"/>
    <n v="2"/>
    <s v="Life Sciences"/>
    <n v="1"/>
    <n v="1598"/>
    <n v="4"/>
    <s v="Female"/>
    <n v="84"/>
    <n v="3"/>
    <n v="2"/>
    <x v="0"/>
    <n v="1"/>
    <s v="Married"/>
    <n v="4639"/>
    <n v="11262"/>
    <n v="1"/>
    <s v="Y"/>
    <x v="1"/>
    <n v="15"/>
    <n v="3"/>
    <n v="3"/>
    <n v="80"/>
    <n v="1"/>
    <n v="5"/>
    <n v="2"/>
    <n v="3"/>
    <n v="5"/>
    <n v="4"/>
    <n v="1"/>
    <n v="2"/>
    <x v="1"/>
    <x v="0"/>
    <x v="0"/>
  </r>
  <r>
    <n v="43"/>
    <x v="1"/>
    <s v="Travel_Rarely"/>
    <n v="990"/>
    <x v="1"/>
    <n v="27"/>
    <n v="3"/>
    <s v="Technical Degree"/>
    <n v="1"/>
    <n v="1599"/>
    <n v="4"/>
    <s v="Male"/>
    <n v="87"/>
    <n v="4"/>
    <n v="1"/>
    <x v="2"/>
    <n v="2"/>
    <s v="Divorced"/>
    <n v="4876"/>
    <n v="5855"/>
    <n v="5"/>
    <s v="Y"/>
    <x v="1"/>
    <n v="12"/>
    <n v="3"/>
    <n v="3"/>
    <n v="80"/>
    <n v="1"/>
    <n v="8"/>
    <n v="0"/>
    <n v="3"/>
    <n v="6"/>
    <n v="4"/>
    <n v="0"/>
    <n v="2"/>
    <x v="1"/>
    <x v="0"/>
    <x v="0"/>
  </r>
  <r>
    <n v="35"/>
    <x v="1"/>
    <s v="Travel_Rarely"/>
    <n v="1349"/>
    <x v="1"/>
    <n v="7"/>
    <n v="2"/>
    <s v="Life Sciences"/>
    <n v="1"/>
    <n v="1601"/>
    <n v="3"/>
    <s v="Male"/>
    <n v="63"/>
    <n v="2"/>
    <n v="1"/>
    <x v="2"/>
    <n v="4"/>
    <s v="Married"/>
    <n v="2690"/>
    <n v="7713"/>
    <n v="1"/>
    <s v="Y"/>
    <x v="1"/>
    <n v="18"/>
    <n v="3"/>
    <n v="4"/>
    <n v="80"/>
    <n v="1"/>
    <n v="1"/>
    <n v="5"/>
    <n v="2"/>
    <n v="1"/>
    <n v="0"/>
    <n v="0"/>
    <n v="1"/>
    <x v="1"/>
    <x v="1"/>
    <x v="1"/>
  </r>
  <r>
    <n v="46"/>
    <x v="1"/>
    <s v="Travel_Rarely"/>
    <n v="563"/>
    <x v="0"/>
    <n v="1"/>
    <n v="4"/>
    <s v="Life Sciences"/>
    <n v="1"/>
    <n v="1602"/>
    <n v="4"/>
    <s v="Male"/>
    <n v="56"/>
    <n v="4"/>
    <n v="4"/>
    <x v="5"/>
    <n v="1"/>
    <s v="Single"/>
    <n v="17567"/>
    <n v="3156"/>
    <n v="1"/>
    <s v="Y"/>
    <x v="1"/>
    <n v="15"/>
    <n v="3"/>
    <n v="2"/>
    <n v="80"/>
    <n v="0"/>
    <n v="27"/>
    <n v="5"/>
    <n v="1"/>
    <n v="26"/>
    <n v="0"/>
    <n v="0"/>
    <n v="12"/>
    <x v="1"/>
    <x v="0"/>
    <x v="2"/>
  </r>
  <r>
    <n v="28"/>
    <x v="0"/>
    <s v="Travel_Rarely"/>
    <n v="329"/>
    <x v="1"/>
    <n v="24"/>
    <n v="3"/>
    <s v="Medical"/>
    <n v="1"/>
    <n v="1604"/>
    <n v="3"/>
    <s v="Male"/>
    <n v="51"/>
    <n v="3"/>
    <n v="1"/>
    <x v="2"/>
    <n v="2"/>
    <s v="Married"/>
    <n v="2408"/>
    <n v="7324"/>
    <n v="1"/>
    <s v="Y"/>
    <x v="0"/>
    <n v="17"/>
    <n v="3"/>
    <n v="3"/>
    <n v="80"/>
    <n v="3"/>
    <n v="1"/>
    <n v="3"/>
    <n v="3"/>
    <n v="1"/>
    <n v="1"/>
    <n v="0"/>
    <n v="0"/>
    <x v="0"/>
    <x v="2"/>
    <x v="1"/>
  </r>
  <r>
    <n v="22"/>
    <x v="1"/>
    <s v="Non-Travel"/>
    <n v="457"/>
    <x v="1"/>
    <n v="26"/>
    <n v="2"/>
    <s v="Other"/>
    <n v="1"/>
    <n v="1605"/>
    <n v="2"/>
    <s v="Female"/>
    <n v="85"/>
    <n v="2"/>
    <n v="1"/>
    <x v="1"/>
    <n v="3"/>
    <s v="Married"/>
    <n v="2814"/>
    <n v="10293"/>
    <n v="1"/>
    <s v="Y"/>
    <x v="0"/>
    <n v="14"/>
    <n v="3"/>
    <n v="2"/>
    <n v="80"/>
    <n v="0"/>
    <n v="4"/>
    <n v="2"/>
    <n v="2"/>
    <n v="4"/>
    <n v="2"/>
    <n v="1"/>
    <n v="3"/>
    <x v="1"/>
    <x v="2"/>
    <x v="1"/>
  </r>
  <r>
    <n v="50"/>
    <x v="1"/>
    <s v="Travel_Frequently"/>
    <n v="1234"/>
    <x v="1"/>
    <n v="20"/>
    <n v="5"/>
    <s v="Medical"/>
    <n v="1"/>
    <n v="1606"/>
    <n v="2"/>
    <s v="Male"/>
    <n v="41"/>
    <n v="3"/>
    <n v="4"/>
    <x v="4"/>
    <n v="3"/>
    <s v="Married"/>
    <n v="11245"/>
    <n v="20689"/>
    <n v="2"/>
    <s v="Y"/>
    <x v="0"/>
    <n v="15"/>
    <n v="3"/>
    <n v="3"/>
    <n v="80"/>
    <n v="1"/>
    <n v="32"/>
    <n v="3"/>
    <n v="3"/>
    <n v="30"/>
    <n v="8"/>
    <n v="12"/>
    <n v="13"/>
    <x v="1"/>
    <x v="3"/>
    <x v="2"/>
  </r>
  <r>
    <n v="32"/>
    <x v="1"/>
    <s v="Travel_Rarely"/>
    <n v="634"/>
    <x v="1"/>
    <n v="5"/>
    <n v="4"/>
    <s v="Other"/>
    <n v="1"/>
    <n v="1607"/>
    <n v="2"/>
    <s v="Female"/>
    <n v="35"/>
    <n v="4"/>
    <n v="1"/>
    <x v="1"/>
    <n v="4"/>
    <s v="Married"/>
    <n v="3312"/>
    <n v="18783"/>
    <n v="3"/>
    <s v="Y"/>
    <x v="1"/>
    <n v="17"/>
    <n v="3"/>
    <n v="4"/>
    <n v="80"/>
    <n v="2"/>
    <n v="6"/>
    <n v="3"/>
    <n v="3"/>
    <n v="3"/>
    <n v="2"/>
    <n v="0"/>
    <n v="2"/>
    <x v="1"/>
    <x v="1"/>
    <x v="0"/>
  </r>
  <r>
    <n v="44"/>
    <x v="1"/>
    <s v="Travel_Rarely"/>
    <n v="1313"/>
    <x v="1"/>
    <n v="7"/>
    <n v="3"/>
    <s v="Medical"/>
    <n v="1"/>
    <n v="1608"/>
    <n v="2"/>
    <s v="Female"/>
    <n v="31"/>
    <n v="3"/>
    <n v="5"/>
    <x v="7"/>
    <n v="4"/>
    <s v="Divorced"/>
    <n v="19049"/>
    <n v="3549"/>
    <n v="0"/>
    <s v="Y"/>
    <x v="0"/>
    <n v="14"/>
    <n v="3"/>
    <n v="4"/>
    <n v="80"/>
    <n v="1"/>
    <n v="23"/>
    <n v="4"/>
    <n v="2"/>
    <n v="22"/>
    <n v="7"/>
    <n v="1"/>
    <n v="10"/>
    <x v="1"/>
    <x v="0"/>
    <x v="2"/>
  </r>
  <r>
    <n v="30"/>
    <x v="1"/>
    <s v="Travel_Rarely"/>
    <n v="241"/>
    <x v="1"/>
    <n v="7"/>
    <n v="3"/>
    <s v="Medical"/>
    <n v="1"/>
    <n v="1609"/>
    <n v="2"/>
    <s v="Male"/>
    <n v="48"/>
    <n v="2"/>
    <n v="1"/>
    <x v="1"/>
    <n v="2"/>
    <s v="Married"/>
    <n v="2141"/>
    <n v="5348"/>
    <n v="1"/>
    <s v="Y"/>
    <x v="1"/>
    <n v="12"/>
    <n v="3"/>
    <n v="2"/>
    <n v="80"/>
    <n v="1"/>
    <n v="6"/>
    <n v="3"/>
    <n v="2"/>
    <n v="6"/>
    <n v="4"/>
    <n v="1"/>
    <n v="1"/>
    <x v="1"/>
    <x v="1"/>
    <x v="1"/>
  </r>
  <r>
    <n v="45"/>
    <x v="1"/>
    <s v="Travel_Rarely"/>
    <n v="1015"/>
    <x v="1"/>
    <n v="5"/>
    <n v="5"/>
    <s v="Medical"/>
    <n v="1"/>
    <n v="1611"/>
    <n v="3"/>
    <s v="Female"/>
    <n v="50"/>
    <n v="1"/>
    <n v="2"/>
    <x v="2"/>
    <n v="1"/>
    <s v="Single"/>
    <n v="5769"/>
    <n v="23447"/>
    <n v="1"/>
    <s v="Y"/>
    <x v="0"/>
    <n v="14"/>
    <n v="3"/>
    <n v="1"/>
    <n v="80"/>
    <n v="0"/>
    <n v="10"/>
    <n v="3"/>
    <n v="3"/>
    <n v="10"/>
    <n v="7"/>
    <n v="1"/>
    <n v="4"/>
    <x v="1"/>
    <x v="0"/>
    <x v="0"/>
  </r>
  <r>
    <n v="45"/>
    <x v="1"/>
    <s v="Non-Travel"/>
    <n v="336"/>
    <x v="0"/>
    <n v="26"/>
    <n v="3"/>
    <s v="Marketing"/>
    <n v="1"/>
    <n v="1612"/>
    <n v="1"/>
    <s v="Male"/>
    <n v="52"/>
    <n v="2"/>
    <n v="2"/>
    <x v="0"/>
    <n v="1"/>
    <s v="Married"/>
    <n v="4385"/>
    <n v="24162"/>
    <n v="1"/>
    <s v="Y"/>
    <x v="1"/>
    <n v="15"/>
    <n v="3"/>
    <n v="1"/>
    <n v="80"/>
    <n v="1"/>
    <n v="10"/>
    <n v="2"/>
    <n v="3"/>
    <n v="10"/>
    <n v="7"/>
    <n v="4"/>
    <n v="5"/>
    <x v="1"/>
    <x v="0"/>
    <x v="0"/>
  </r>
  <r>
    <n v="31"/>
    <x v="1"/>
    <s v="Travel_Frequently"/>
    <n v="715"/>
    <x v="0"/>
    <n v="2"/>
    <n v="4"/>
    <s v="Other"/>
    <n v="1"/>
    <n v="1613"/>
    <n v="4"/>
    <s v="Male"/>
    <n v="54"/>
    <n v="3"/>
    <n v="2"/>
    <x v="0"/>
    <n v="1"/>
    <s v="Single"/>
    <n v="5332"/>
    <n v="21602"/>
    <n v="7"/>
    <s v="Y"/>
    <x v="1"/>
    <n v="13"/>
    <n v="3"/>
    <n v="4"/>
    <n v="80"/>
    <n v="0"/>
    <n v="10"/>
    <n v="3"/>
    <n v="3"/>
    <n v="5"/>
    <n v="2"/>
    <n v="0"/>
    <n v="3"/>
    <x v="1"/>
    <x v="1"/>
    <x v="0"/>
  </r>
  <r>
    <n v="36"/>
    <x v="1"/>
    <s v="Travel_Rarely"/>
    <n v="559"/>
    <x v="1"/>
    <n v="12"/>
    <n v="4"/>
    <s v="Life Sciences"/>
    <n v="1"/>
    <n v="1614"/>
    <n v="3"/>
    <s v="Female"/>
    <n v="76"/>
    <n v="3"/>
    <n v="2"/>
    <x v="3"/>
    <n v="3"/>
    <s v="Married"/>
    <n v="4663"/>
    <n v="12421"/>
    <n v="9"/>
    <s v="Y"/>
    <x v="0"/>
    <n v="12"/>
    <n v="3"/>
    <n v="2"/>
    <n v="80"/>
    <n v="2"/>
    <n v="7"/>
    <n v="2"/>
    <n v="3"/>
    <n v="3"/>
    <n v="2"/>
    <n v="1"/>
    <n v="1"/>
    <x v="1"/>
    <x v="1"/>
    <x v="0"/>
  </r>
  <r>
    <n v="34"/>
    <x v="1"/>
    <s v="Travel_Frequently"/>
    <n v="426"/>
    <x v="1"/>
    <n v="10"/>
    <n v="4"/>
    <s v="Life Sciences"/>
    <n v="1"/>
    <n v="1615"/>
    <n v="3"/>
    <s v="Male"/>
    <n v="42"/>
    <n v="4"/>
    <n v="2"/>
    <x v="3"/>
    <n v="4"/>
    <s v="Divorced"/>
    <n v="4724"/>
    <n v="17000"/>
    <n v="1"/>
    <s v="Y"/>
    <x v="1"/>
    <n v="13"/>
    <n v="3"/>
    <n v="1"/>
    <n v="80"/>
    <n v="1"/>
    <n v="9"/>
    <n v="3"/>
    <n v="3"/>
    <n v="9"/>
    <n v="7"/>
    <n v="7"/>
    <n v="2"/>
    <x v="1"/>
    <x v="1"/>
    <x v="0"/>
  </r>
  <r>
    <n v="49"/>
    <x v="1"/>
    <s v="Travel_Rarely"/>
    <n v="722"/>
    <x v="1"/>
    <n v="25"/>
    <n v="4"/>
    <s v="Life Sciences"/>
    <n v="1"/>
    <n v="1617"/>
    <n v="3"/>
    <s v="Female"/>
    <n v="84"/>
    <n v="3"/>
    <n v="1"/>
    <x v="2"/>
    <n v="1"/>
    <s v="Married"/>
    <n v="3211"/>
    <n v="22102"/>
    <n v="1"/>
    <s v="Y"/>
    <x v="1"/>
    <n v="14"/>
    <n v="3"/>
    <n v="4"/>
    <n v="80"/>
    <n v="1"/>
    <n v="10"/>
    <n v="3"/>
    <n v="2"/>
    <n v="9"/>
    <n v="6"/>
    <n v="1"/>
    <n v="4"/>
    <x v="1"/>
    <x v="0"/>
    <x v="0"/>
  </r>
  <r>
    <n v="39"/>
    <x v="1"/>
    <s v="Travel_Rarely"/>
    <n v="1387"/>
    <x v="1"/>
    <n v="10"/>
    <n v="5"/>
    <s v="Medical"/>
    <n v="1"/>
    <n v="1618"/>
    <n v="2"/>
    <s v="Male"/>
    <n v="76"/>
    <n v="3"/>
    <n v="2"/>
    <x v="3"/>
    <n v="1"/>
    <s v="Married"/>
    <n v="5377"/>
    <n v="3835"/>
    <n v="2"/>
    <s v="Y"/>
    <x v="1"/>
    <n v="13"/>
    <n v="3"/>
    <n v="4"/>
    <n v="80"/>
    <n v="3"/>
    <n v="10"/>
    <n v="3"/>
    <n v="3"/>
    <n v="7"/>
    <n v="7"/>
    <n v="7"/>
    <n v="7"/>
    <x v="1"/>
    <x v="1"/>
    <x v="0"/>
  </r>
  <r>
    <n v="27"/>
    <x v="1"/>
    <s v="Travel_Rarely"/>
    <n v="1302"/>
    <x v="1"/>
    <n v="19"/>
    <n v="3"/>
    <s v="Other"/>
    <n v="1"/>
    <n v="1619"/>
    <n v="4"/>
    <s v="Male"/>
    <n v="67"/>
    <n v="2"/>
    <n v="1"/>
    <x v="2"/>
    <n v="1"/>
    <s v="Divorced"/>
    <n v="4066"/>
    <n v="16290"/>
    <n v="1"/>
    <s v="Y"/>
    <x v="1"/>
    <n v="11"/>
    <n v="3"/>
    <n v="1"/>
    <n v="80"/>
    <n v="2"/>
    <n v="7"/>
    <n v="3"/>
    <n v="3"/>
    <n v="7"/>
    <n v="7"/>
    <n v="0"/>
    <n v="7"/>
    <x v="1"/>
    <x v="2"/>
    <x v="0"/>
  </r>
  <r>
    <n v="35"/>
    <x v="1"/>
    <s v="Travel_Rarely"/>
    <n v="819"/>
    <x v="1"/>
    <n v="18"/>
    <n v="5"/>
    <s v="Life Sciences"/>
    <n v="1"/>
    <n v="1621"/>
    <n v="2"/>
    <s v="Male"/>
    <n v="48"/>
    <n v="4"/>
    <n v="2"/>
    <x v="1"/>
    <n v="1"/>
    <s v="Married"/>
    <n v="5208"/>
    <n v="26312"/>
    <n v="1"/>
    <s v="Y"/>
    <x v="1"/>
    <n v="11"/>
    <n v="3"/>
    <n v="4"/>
    <n v="80"/>
    <n v="0"/>
    <n v="16"/>
    <n v="2"/>
    <n v="3"/>
    <n v="16"/>
    <n v="15"/>
    <n v="1"/>
    <n v="10"/>
    <x v="1"/>
    <x v="1"/>
    <x v="0"/>
  </r>
  <r>
    <n v="28"/>
    <x v="1"/>
    <s v="Travel_Rarely"/>
    <n v="580"/>
    <x v="1"/>
    <n v="27"/>
    <n v="3"/>
    <s v="Medical"/>
    <n v="1"/>
    <n v="1622"/>
    <n v="2"/>
    <s v="Female"/>
    <n v="39"/>
    <n v="1"/>
    <n v="2"/>
    <x v="3"/>
    <n v="1"/>
    <s v="Divorced"/>
    <n v="4877"/>
    <n v="20460"/>
    <n v="0"/>
    <s v="Y"/>
    <x v="1"/>
    <n v="21"/>
    <n v="4"/>
    <n v="2"/>
    <n v="80"/>
    <n v="1"/>
    <n v="6"/>
    <n v="5"/>
    <n v="2"/>
    <n v="5"/>
    <n v="3"/>
    <n v="0"/>
    <n v="0"/>
    <x v="1"/>
    <x v="2"/>
    <x v="0"/>
  </r>
  <r>
    <n v="21"/>
    <x v="1"/>
    <s v="Travel_Rarely"/>
    <n v="546"/>
    <x v="1"/>
    <n v="5"/>
    <n v="1"/>
    <s v="Medical"/>
    <n v="1"/>
    <n v="1623"/>
    <n v="3"/>
    <s v="Male"/>
    <n v="97"/>
    <n v="3"/>
    <n v="1"/>
    <x v="1"/>
    <n v="4"/>
    <s v="Single"/>
    <n v="3117"/>
    <n v="26009"/>
    <n v="1"/>
    <s v="Y"/>
    <x v="1"/>
    <n v="18"/>
    <n v="3"/>
    <n v="3"/>
    <n v="80"/>
    <n v="0"/>
    <n v="3"/>
    <n v="2"/>
    <n v="3"/>
    <n v="2"/>
    <n v="2"/>
    <n v="2"/>
    <n v="2"/>
    <x v="1"/>
    <x v="2"/>
    <x v="0"/>
  </r>
  <r>
    <n v="18"/>
    <x v="0"/>
    <s v="Travel_Frequently"/>
    <n v="544"/>
    <x v="0"/>
    <n v="3"/>
    <n v="2"/>
    <s v="Medical"/>
    <n v="1"/>
    <n v="1624"/>
    <n v="2"/>
    <s v="Female"/>
    <n v="70"/>
    <n v="3"/>
    <n v="1"/>
    <x v="6"/>
    <n v="4"/>
    <s v="Single"/>
    <n v="1569"/>
    <n v="18420"/>
    <n v="1"/>
    <s v="Y"/>
    <x v="0"/>
    <n v="12"/>
    <n v="3"/>
    <n v="3"/>
    <n v="80"/>
    <n v="0"/>
    <n v="0"/>
    <n v="2"/>
    <n v="4"/>
    <n v="0"/>
    <n v="0"/>
    <n v="0"/>
    <n v="0"/>
    <x v="0"/>
    <x v="2"/>
    <x v="1"/>
  </r>
  <r>
    <n v="47"/>
    <x v="1"/>
    <s v="Travel_Rarely"/>
    <n v="1176"/>
    <x v="2"/>
    <n v="26"/>
    <n v="4"/>
    <s v="Life Sciences"/>
    <n v="1"/>
    <n v="1625"/>
    <n v="4"/>
    <s v="Female"/>
    <n v="98"/>
    <n v="3"/>
    <n v="5"/>
    <x v="5"/>
    <n v="3"/>
    <s v="Married"/>
    <n v="19658"/>
    <n v="5220"/>
    <n v="3"/>
    <s v="Y"/>
    <x v="1"/>
    <n v="11"/>
    <n v="3"/>
    <n v="3"/>
    <n v="80"/>
    <n v="1"/>
    <n v="27"/>
    <n v="2"/>
    <n v="3"/>
    <n v="5"/>
    <n v="2"/>
    <n v="1"/>
    <n v="0"/>
    <x v="1"/>
    <x v="0"/>
    <x v="2"/>
  </r>
  <r>
    <n v="39"/>
    <x v="1"/>
    <s v="Travel_Rarely"/>
    <n v="170"/>
    <x v="1"/>
    <n v="3"/>
    <n v="2"/>
    <s v="Medical"/>
    <n v="1"/>
    <n v="1627"/>
    <n v="3"/>
    <s v="Male"/>
    <n v="76"/>
    <n v="2"/>
    <n v="2"/>
    <x v="2"/>
    <n v="3"/>
    <s v="Divorced"/>
    <n v="3069"/>
    <n v="10302"/>
    <n v="0"/>
    <s v="Y"/>
    <x v="1"/>
    <n v="15"/>
    <n v="3"/>
    <n v="4"/>
    <n v="80"/>
    <n v="1"/>
    <n v="11"/>
    <n v="3"/>
    <n v="3"/>
    <n v="10"/>
    <n v="8"/>
    <n v="0"/>
    <n v="7"/>
    <x v="1"/>
    <x v="1"/>
    <x v="0"/>
  </r>
  <r>
    <n v="40"/>
    <x v="1"/>
    <s v="Travel_Rarely"/>
    <n v="884"/>
    <x v="1"/>
    <n v="15"/>
    <n v="3"/>
    <s v="Life Sciences"/>
    <n v="1"/>
    <n v="1628"/>
    <n v="1"/>
    <s v="Female"/>
    <n v="80"/>
    <n v="2"/>
    <n v="3"/>
    <x v="3"/>
    <n v="3"/>
    <s v="Married"/>
    <n v="10435"/>
    <n v="25800"/>
    <n v="1"/>
    <s v="Y"/>
    <x v="1"/>
    <n v="13"/>
    <n v="3"/>
    <n v="4"/>
    <n v="80"/>
    <n v="2"/>
    <n v="18"/>
    <n v="2"/>
    <n v="3"/>
    <n v="18"/>
    <n v="15"/>
    <n v="14"/>
    <n v="12"/>
    <x v="1"/>
    <x v="0"/>
    <x v="2"/>
  </r>
  <r>
    <n v="35"/>
    <x v="1"/>
    <s v="Non-Travel"/>
    <n v="208"/>
    <x v="1"/>
    <n v="8"/>
    <n v="4"/>
    <s v="Life Sciences"/>
    <n v="1"/>
    <n v="1630"/>
    <n v="3"/>
    <s v="Female"/>
    <n v="52"/>
    <n v="3"/>
    <n v="2"/>
    <x v="4"/>
    <n v="3"/>
    <s v="Married"/>
    <n v="4148"/>
    <n v="12250"/>
    <n v="1"/>
    <s v="Y"/>
    <x v="1"/>
    <n v="12"/>
    <n v="3"/>
    <n v="4"/>
    <n v="80"/>
    <n v="1"/>
    <n v="15"/>
    <n v="5"/>
    <n v="3"/>
    <n v="14"/>
    <n v="11"/>
    <n v="2"/>
    <n v="9"/>
    <x v="1"/>
    <x v="1"/>
    <x v="0"/>
  </r>
  <r>
    <n v="37"/>
    <x v="1"/>
    <s v="Travel_Rarely"/>
    <n v="671"/>
    <x v="1"/>
    <n v="19"/>
    <n v="3"/>
    <s v="Life Sciences"/>
    <n v="1"/>
    <n v="1631"/>
    <n v="3"/>
    <s v="Male"/>
    <n v="85"/>
    <n v="3"/>
    <n v="2"/>
    <x v="3"/>
    <n v="3"/>
    <s v="Married"/>
    <n v="5768"/>
    <n v="26493"/>
    <n v="3"/>
    <s v="Y"/>
    <x v="1"/>
    <n v="17"/>
    <n v="3"/>
    <n v="1"/>
    <n v="80"/>
    <n v="3"/>
    <n v="9"/>
    <n v="2"/>
    <n v="2"/>
    <n v="4"/>
    <n v="3"/>
    <n v="0"/>
    <n v="2"/>
    <x v="1"/>
    <x v="1"/>
    <x v="0"/>
  </r>
  <r>
    <n v="39"/>
    <x v="1"/>
    <s v="Travel_Frequently"/>
    <n v="711"/>
    <x v="1"/>
    <n v="4"/>
    <n v="3"/>
    <s v="Medical"/>
    <n v="1"/>
    <n v="1633"/>
    <n v="1"/>
    <s v="Female"/>
    <n v="81"/>
    <n v="3"/>
    <n v="2"/>
    <x v="3"/>
    <n v="3"/>
    <s v="Single"/>
    <n v="5042"/>
    <n v="3140"/>
    <n v="0"/>
    <s v="Y"/>
    <x v="1"/>
    <n v="13"/>
    <n v="3"/>
    <n v="4"/>
    <n v="80"/>
    <n v="0"/>
    <n v="10"/>
    <n v="2"/>
    <n v="1"/>
    <n v="9"/>
    <n v="2"/>
    <n v="3"/>
    <n v="8"/>
    <x v="1"/>
    <x v="1"/>
    <x v="0"/>
  </r>
  <r>
    <n v="45"/>
    <x v="1"/>
    <s v="Travel_Rarely"/>
    <n v="1329"/>
    <x v="1"/>
    <n v="2"/>
    <n v="2"/>
    <s v="Other"/>
    <n v="1"/>
    <n v="1635"/>
    <n v="4"/>
    <s v="Female"/>
    <n v="59"/>
    <n v="2"/>
    <n v="2"/>
    <x v="3"/>
    <n v="4"/>
    <s v="Divorced"/>
    <n v="5770"/>
    <n v="5388"/>
    <n v="1"/>
    <s v="Y"/>
    <x v="1"/>
    <n v="19"/>
    <n v="3"/>
    <n v="1"/>
    <n v="80"/>
    <n v="2"/>
    <n v="10"/>
    <n v="3"/>
    <n v="3"/>
    <n v="10"/>
    <n v="7"/>
    <n v="3"/>
    <n v="9"/>
    <x v="1"/>
    <x v="0"/>
    <x v="0"/>
  </r>
  <r>
    <n v="38"/>
    <x v="1"/>
    <s v="Travel_Rarely"/>
    <n v="397"/>
    <x v="1"/>
    <n v="2"/>
    <n v="2"/>
    <s v="Medical"/>
    <n v="1"/>
    <n v="1638"/>
    <n v="4"/>
    <s v="Female"/>
    <n v="54"/>
    <n v="2"/>
    <n v="3"/>
    <x v="3"/>
    <n v="3"/>
    <s v="Married"/>
    <n v="7756"/>
    <n v="14199"/>
    <n v="3"/>
    <s v="Y"/>
    <x v="0"/>
    <n v="19"/>
    <n v="3"/>
    <n v="4"/>
    <n v="80"/>
    <n v="1"/>
    <n v="10"/>
    <n v="6"/>
    <n v="4"/>
    <n v="5"/>
    <n v="4"/>
    <n v="0"/>
    <n v="2"/>
    <x v="1"/>
    <x v="1"/>
    <x v="2"/>
  </r>
  <r>
    <n v="35"/>
    <x v="0"/>
    <s v="Travel_Rarely"/>
    <n v="737"/>
    <x v="0"/>
    <n v="10"/>
    <n v="3"/>
    <s v="Medical"/>
    <n v="1"/>
    <n v="1639"/>
    <n v="4"/>
    <s v="Male"/>
    <n v="55"/>
    <n v="2"/>
    <n v="3"/>
    <x v="0"/>
    <n v="1"/>
    <s v="Married"/>
    <n v="10306"/>
    <n v="21530"/>
    <n v="9"/>
    <s v="Y"/>
    <x v="1"/>
    <n v="17"/>
    <n v="3"/>
    <n v="3"/>
    <n v="80"/>
    <n v="0"/>
    <n v="15"/>
    <n v="3"/>
    <n v="3"/>
    <n v="13"/>
    <n v="12"/>
    <n v="6"/>
    <n v="0"/>
    <x v="0"/>
    <x v="1"/>
    <x v="2"/>
  </r>
  <r>
    <n v="37"/>
    <x v="1"/>
    <s v="Travel_Rarely"/>
    <n v="1470"/>
    <x v="1"/>
    <n v="10"/>
    <n v="3"/>
    <s v="Medical"/>
    <n v="1"/>
    <n v="1640"/>
    <n v="2"/>
    <s v="Female"/>
    <n v="71"/>
    <n v="3"/>
    <n v="1"/>
    <x v="1"/>
    <n v="2"/>
    <s v="Married"/>
    <n v="3936"/>
    <n v="9953"/>
    <n v="1"/>
    <s v="Y"/>
    <x v="1"/>
    <n v="11"/>
    <n v="3"/>
    <n v="1"/>
    <n v="80"/>
    <n v="1"/>
    <n v="8"/>
    <n v="2"/>
    <n v="1"/>
    <n v="8"/>
    <n v="4"/>
    <n v="7"/>
    <n v="7"/>
    <x v="1"/>
    <x v="1"/>
    <x v="0"/>
  </r>
  <r>
    <n v="40"/>
    <x v="1"/>
    <s v="Travel_Rarely"/>
    <n v="448"/>
    <x v="1"/>
    <n v="16"/>
    <n v="3"/>
    <s v="Life Sciences"/>
    <n v="1"/>
    <n v="1641"/>
    <n v="3"/>
    <s v="Female"/>
    <n v="84"/>
    <n v="3"/>
    <n v="3"/>
    <x v="3"/>
    <n v="4"/>
    <s v="Single"/>
    <n v="7945"/>
    <n v="19948"/>
    <n v="6"/>
    <s v="Y"/>
    <x v="0"/>
    <n v="15"/>
    <n v="3"/>
    <n v="4"/>
    <n v="80"/>
    <n v="0"/>
    <n v="18"/>
    <n v="2"/>
    <n v="2"/>
    <n v="4"/>
    <n v="2"/>
    <n v="3"/>
    <n v="3"/>
    <x v="1"/>
    <x v="0"/>
    <x v="2"/>
  </r>
  <r>
    <n v="44"/>
    <x v="1"/>
    <s v="Travel_Frequently"/>
    <n v="602"/>
    <x v="2"/>
    <n v="1"/>
    <n v="5"/>
    <s v="Human Resources"/>
    <n v="1"/>
    <n v="1642"/>
    <n v="1"/>
    <s v="Male"/>
    <n v="37"/>
    <n v="3"/>
    <n v="2"/>
    <x v="8"/>
    <n v="4"/>
    <s v="Married"/>
    <n v="5743"/>
    <n v="10503"/>
    <n v="4"/>
    <s v="Y"/>
    <x v="0"/>
    <n v="11"/>
    <n v="3"/>
    <n v="3"/>
    <n v="80"/>
    <n v="0"/>
    <n v="14"/>
    <n v="3"/>
    <n v="3"/>
    <n v="10"/>
    <n v="7"/>
    <n v="0"/>
    <n v="2"/>
    <x v="1"/>
    <x v="0"/>
    <x v="0"/>
  </r>
  <r>
    <n v="48"/>
    <x v="1"/>
    <s v="Travel_Frequently"/>
    <n v="365"/>
    <x v="1"/>
    <n v="4"/>
    <n v="5"/>
    <s v="Medical"/>
    <n v="1"/>
    <n v="1644"/>
    <n v="3"/>
    <s v="Male"/>
    <n v="89"/>
    <n v="2"/>
    <n v="4"/>
    <x v="5"/>
    <n v="4"/>
    <s v="Married"/>
    <n v="15202"/>
    <n v="5602"/>
    <n v="2"/>
    <s v="Y"/>
    <x v="1"/>
    <n v="25"/>
    <n v="4"/>
    <n v="2"/>
    <n v="80"/>
    <n v="1"/>
    <n v="23"/>
    <n v="3"/>
    <n v="3"/>
    <n v="2"/>
    <n v="2"/>
    <n v="2"/>
    <n v="2"/>
    <x v="1"/>
    <x v="0"/>
    <x v="2"/>
  </r>
  <r>
    <n v="35"/>
    <x v="0"/>
    <s v="Travel_Rarely"/>
    <n v="763"/>
    <x v="0"/>
    <n v="15"/>
    <n v="2"/>
    <s v="Medical"/>
    <n v="1"/>
    <n v="1645"/>
    <n v="1"/>
    <s v="Male"/>
    <n v="59"/>
    <n v="1"/>
    <n v="2"/>
    <x v="0"/>
    <n v="4"/>
    <s v="Divorced"/>
    <n v="5440"/>
    <n v="22098"/>
    <n v="6"/>
    <s v="Y"/>
    <x v="0"/>
    <n v="14"/>
    <n v="3"/>
    <n v="4"/>
    <n v="80"/>
    <n v="2"/>
    <n v="7"/>
    <n v="2"/>
    <n v="2"/>
    <n v="2"/>
    <n v="2"/>
    <n v="2"/>
    <n v="2"/>
    <x v="0"/>
    <x v="1"/>
    <x v="0"/>
  </r>
  <r>
    <n v="24"/>
    <x v="1"/>
    <s v="Travel_Frequently"/>
    <n v="567"/>
    <x v="1"/>
    <n v="2"/>
    <n v="1"/>
    <s v="Technical Degree"/>
    <n v="1"/>
    <n v="1646"/>
    <n v="1"/>
    <s v="Female"/>
    <n v="32"/>
    <n v="3"/>
    <n v="1"/>
    <x v="1"/>
    <n v="4"/>
    <s v="Single"/>
    <n v="3760"/>
    <n v="17218"/>
    <n v="1"/>
    <s v="Y"/>
    <x v="0"/>
    <n v="13"/>
    <n v="3"/>
    <n v="3"/>
    <n v="80"/>
    <n v="0"/>
    <n v="6"/>
    <n v="2"/>
    <n v="3"/>
    <n v="6"/>
    <n v="3"/>
    <n v="1"/>
    <n v="3"/>
    <x v="1"/>
    <x v="2"/>
    <x v="0"/>
  </r>
  <r>
    <n v="27"/>
    <x v="1"/>
    <s v="Travel_Rarely"/>
    <n v="486"/>
    <x v="1"/>
    <n v="8"/>
    <n v="3"/>
    <s v="Medical"/>
    <n v="1"/>
    <n v="1647"/>
    <n v="2"/>
    <s v="Female"/>
    <n v="86"/>
    <n v="4"/>
    <n v="1"/>
    <x v="1"/>
    <n v="3"/>
    <s v="Married"/>
    <n v="3517"/>
    <n v="22490"/>
    <n v="7"/>
    <s v="Y"/>
    <x v="1"/>
    <n v="17"/>
    <n v="3"/>
    <n v="1"/>
    <n v="80"/>
    <n v="0"/>
    <n v="5"/>
    <n v="0"/>
    <n v="3"/>
    <n v="3"/>
    <n v="2"/>
    <n v="0"/>
    <n v="2"/>
    <x v="1"/>
    <x v="2"/>
    <x v="0"/>
  </r>
  <r>
    <n v="27"/>
    <x v="1"/>
    <s v="Travel_Frequently"/>
    <n v="591"/>
    <x v="1"/>
    <n v="2"/>
    <n v="3"/>
    <s v="Medical"/>
    <n v="1"/>
    <n v="1648"/>
    <n v="4"/>
    <s v="Male"/>
    <n v="87"/>
    <n v="3"/>
    <n v="1"/>
    <x v="1"/>
    <n v="4"/>
    <s v="Single"/>
    <n v="2580"/>
    <n v="6297"/>
    <n v="2"/>
    <s v="Y"/>
    <x v="1"/>
    <n v="13"/>
    <n v="3"/>
    <n v="3"/>
    <n v="80"/>
    <n v="0"/>
    <n v="6"/>
    <n v="0"/>
    <n v="2"/>
    <n v="4"/>
    <n v="2"/>
    <n v="1"/>
    <n v="2"/>
    <x v="1"/>
    <x v="2"/>
    <x v="1"/>
  </r>
  <r>
    <n v="40"/>
    <x v="0"/>
    <s v="Travel_Rarely"/>
    <n v="1329"/>
    <x v="1"/>
    <n v="7"/>
    <n v="3"/>
    <s v="Life Sciences"/>
    <n v="1"/>
    <n v="1649"/>
    <n v="1"/>
    <s v="Male"/>
    <n v="73"/>
    <n v="3"/>
    <n v="1"/>
    <x v="2"/>
    <n v="1"/>
    <s v="Single"/>
    <n v="2166"/>
    <n v="3339"/>
    <n v="3"/>
    <s v="Y"/>
    <x v="0"/>
    <n v="14"/>
    <n v="3"/>
    <n v="2"/>
    <n v="80"/>
    <n v="0"/>
    <n v="10"/>
    <n v="3"/>
    <n v="1"/>
    <n v="4"/>
    <n v="2"/>
    <n v="0"/>
    <n v="3"/>
    <x v="0"/>
    <x v="0"/>
    <x v="1"/>
  </r>
  <r>
    <n v="29"/>
    <x v="1"/>
    <s v="Travel_Rarely"/>
    <n v="469"/>
    <x v="0"/>
    <n v="10"/>
    <n v="3"/>
    <s v="Medical"/>
    <n v="1"/>
    <n v="1650"/>
    <n v="3"/>
    <s v="Male"/>
    <n v="42"/>
    <n v="2"/>
    <n v="2"/>
    <x v="0"/>
    <n v="3"/>
    <s v="Single"/>
    <n v="5869"/>
    <n v="23413"/>
    <n v="9"/>
    <s v="Y"/>
    <x v="1"/>
    <n v="11"/>
    <n v="3"/>
    <n v="3"/>
    <n v="80"/>
    <n v="0"/>
    <n v="8"/>
    <n v="2"/>
    <n v="3"/>
    <n v="5"/>
    <n v="2"/>
    <n v="1"/>
    <n v="4"/>
    <x v="1"/>
    <x v="2"/>
    <x v="0"/>
  </r>
  <r>
    <n v="36"/>
    <x v="1"/>
    <s v="Travel_Rarely"/>
    <n v="711"/>
    <x v="1"/>
    <n v="5"/>
    <n v="4"/>
    <s v="Life Sciences"/>
    <n v="1"/>
    <n v="1651"/>
    <n v="2"/>
    <s v="Female"/>
    <n v="42"/>
    <n v="3"/>
    <n v="3"/>
    <x v="4"/>
    <n v="1"/>
    <s v="Married"/>
    <n v="8008"/>
    <n v="22792"/>
    <n v="4"/>
    <s v="Y"/>
    <x v="1"/>
    <n v="12"/>
    <n v="3"/>
    <n v="3"/>
    <n v="80"/>
    <n v="2"/>
    <n v="9"/>
    <n v="6"/>
    <n v="3"/>
    <n v="3"/>
    <n v="2"/>
    <n v="0"/>
    <n v="2"/>
    <x v="1"/>
    <x v="1"/>
    <x v="2"/>
  </r>
  <r>
    <n v="25"/>
    <x v="1"/>
    <s v="Travel_Frequently"/>
    <n v="772"/>
    <x v="1"/>
    <n v="2"/>
    <n v="1"/>
    <s v="Life Sciences"/>
    <n v="1"/>
    <n v="1653"/>
    <n v="4"/>
    <s v="Male"/>
    <n v="77"/>
    <n v="4"/>
    <n v="2"/>
    <x v="3"/>
    <n v="3"/>
    <s v="Divorced"/>
    <n v="5206"/>
    <n v="4973"/>
    <n v="1"/>
    <s v="Y"/>
    <x v="1"/>
    <n v="17"/>
    <n v="3"/>
    <n v="3"/>
    <n v="80"/>
    <n v="2"/>
    <n v="7"/>
    <n v="6"/>
    <n v="3"/>
    <n v="7"/>
    <n v="7"/>
    <n v="0"/>
    <n v="7"/>
    <x v="1"/>
    <x v="2"/>
    <x v="0"/>
  </r>
  <r>
    <n v="39"/>
    <x v="1"/>
    <s v="Travel_Rarely"/>
    <n v="492"/>
    <x v="1"/>
    <n v="12"/>
    <n v="3"/>
    <s v="Medical"/>
    <n v="1"/>
    <n v="1654"/>
    <n v="4"/>
    <s v="Male"/>
    <n v="66"/>
    <n v="3"/>
    <n v="2"/>
    <x v="3"/>
    <n v="2"/>
    <s v="Married"/>
    <n v="5295"/>
    <n v="7693"/>
    <n v="4"/>
    <s v="Y"/>
    <x v="1"/>
    <n v="21"/>
    <n v="4"/>
    <n v="3"/>
    <n v="80"/>
    <n v="0"/>
    <n v="7"/>
    <n v="3"/>
    <n v="3"/>
    <n v="5"/>
    <n v="4"/>
    <n v="1"/>
    <n v="0"/>
    <x v="1"/>
    <x v="1"/>
    <x v="0"/>
  </r>
  <r>
    <n v="49"/>
    <x v="1"/>
    <s v="Travel_Rarely"/>
    <n v="301"/>
    <x v="1"/>
    <n v="22"/>
    <n v="4"/>
    <s v="Other"/>
    <n v="1"/>
    <n v="1655"/>
    <n v="1"/>
    <s v="Female"/>
    <n v="72"/>
    <n v="3"/>
    <n v="4"/>
    <x v="7"/>
    <n v="2"/>
    <s v="Married"/>
    <n v="16413"/>
    <n v="3498"/>
    <n v="3"/>
    <s v="Y"/>
    <x v="1"/>
    <n v="16"/>
    <n v="3"/>
    <n v="2"/>
    <n v="80"/>
    <n v="2"/>
    <n v="27"/>
    <n v="2"/>
    <n v="3"/>
    <n v="4"/>
    <n v="2"/>
    <n v="1"/>
    <n v="2"/>
    <x v="1"/>
    <x v="0"/>
    <x v="2"/>
  </r>
  <r>
    <n v="50"/>
    <x v="1"/>
    <s v="Travel_Rarely"/>
    <n v="813"/>
    <x v="1"/>
    <n v="17"/>
    <n v="5"/>
    <s v="Life Sciences"/>
    <n v="1"/>
    <n v="1656"/>
    <n v="4"/>
    <s v="Female"/>
    <n v="50"/>
    <n v="2"/>
    <n v="3"/>
    <x v="7"/>
    <n v="1"/>
    <s v="Divorced"/>
    <n v="13269"/>
    <n v="21981"/>
    <n v="5"/>
    <s v="Y"/>
    <x v="1"/>
    <n v="15"/>
    <n v="3"/>
    <n v="3"/>
    <n v="80"/>
    <n v="3"/>
    <n v="19"/>
    <n v="3"/>
    <n v="3"/>
    <n v="14"/>
    <n v="11"/>
    <n v="1"/>
    <n v="11"/>
    <x v="1"/>
    <x v="3"/>
    <x v="2"/>
  </r>
  <r>
    <n v="20"/>
    <x v="1"/>
    <s v="Travel_Rarely"/>
    <n v="1141"/>
    <x v="0"/>
    <n v="2"/>
    <n v="3"/>
    <s v="Medical"/>
    <n v="1"/>
    <n v="1657"/>
    <n v="3"/>
    <s v="Female"/>
    <n v="31"/>
    <n v="3"/>
    <n v="1"/>
    <x v="6"/>
    <n v="3"/>
    <s v="Single"/>
    <n v="2783"/>
    <n v="13251"/>
    <n v="1"/>
    <s v="Y"/>
    <x v="1"/>
    <n v="19"/>
    <n v="3"/>
    <n v="1"/>
    <n v="80"/>
    <n v="0"/>
    <n v="2"/>
    <n v="3"/>
    <n v="3"/>
    <n v="2"/>
    <n v="2"/>
    <n v="2"/>
    <n v="2"/>
    <x v="1"/>
    <x v="2"/>
    <x v="1"/>
  </r>
  <r>
    <n v="34"/>
    <x v="1"/>
    <s v="Travel_Rarely"/>
    <n v="1130"/>
    <x v="1"/>
    <n v="3"/>
    <n v="3"/>
    <s v="Life Sciences"/>
    <n v="1"/>
    <n v="1658"/>
    <n v="4"/>
    <s v="Female"/>
    <n v="66"/>
    <n v="3"/>
    <n v="2"/>
    <x v="1"/>
    <n v="2"/>
    <s v="Divorced"/>
    <n v="5433"/>
    <n v="19332"/>
    <n v="1"/>
    <s v="Y"/>
    <x v="1"/>
    <n v="12"/>
    <n v="3"/>
    <n v="3"/>
    <n v="80"/>
    <n v="1"/>
    <n v="11"/>
    <n v="2"/>
    <n v="3"/>
    <n v="11"/>
    <n v="8"/>
    <n v="7"/>
    <n v="9"/>
    <x v="1"/>
    <x v="1"/>
    <x v="0"/>
  </r>
  <r>
    <n v="36"/>
    <x v="1"/>
    <s v="Travel_Rarely"/>
    <n v="311"/>
    <x v="1"/>
    <n v="7"/>
    <n v="3"/>
    <s v="Life Sciences"/>
    <n v="1"/>
    <n v="1659"/>
    <n v="1"/>
    <s v="Male"/>
    <n v="77"/>
    <n v="3"/>
    <n v="1"/>
    <x v="2"/>
    <n v="2"/>
    <s v="Single"/>
    <n v="2013"/>
    <n v="10950"/>
    <n v="2"/>
    <s v="Y"/>
    <x v="1"/>
    <n v="11"/>
    <n v="3"/>
    <n v="3"/>
    <n v="80"/>
    <n v="0"/>
    <n v="15"/>
    <n v="4"/>
    <n v="3"/>
    <n v="4"/>
    <n v="3"/>
    <n v="1"/>
    <n v="3"/>
    <x v="1"/>
    <x v="1"/>
    <x v="1"/>
  </r>
  <r>
    <n v="49"/>
    <x v="1"/>
    <s v="Travel_Rarely"/>
    <n v="465"/>
    <x v="1"/>
    <n v="6"/>
    <n v="1"/>
    <s v="Life Sciences"/>
    <n v="1"/>
    <n v="1661"/>
    <n v="3"/>
    <s v="Female"/>
    <n v="41"/>
    <n v="2"/>
    <n v="4"/>
    <x v="4"/>
    <n v="3"/>
    <s v="Married"/>
    <n v="13966"/>
    <n v="11652"/>
    <n v="2"/>
    <s v="Y"/>
    <x v="0"/>
    <n v="19"/>
    <n v="3"/>
    <n v="2"/>
    <n v="80"/>
    <n v="1"/>
    <n v="30"/>
    <n v="3"/>
    <n v="3"/>
    <n v="15"/>
    <n v="11"/>
    <n v="2"/>
    <n v="12"/>
    <x v="1"/>
    <x v="0"/>
    <x v="2"/>
  </r>
  <r>
    <n v="36"/>
    <x v="1"/>
    <s v="Non-Travel"/>
    <n v="894"/>
    <x v="1"/>
    <n v="1"/>
    <n v="4"/>
    <s v="Medical"/>
    <n v="1"/>
    <n v="1662"/>
    <n v="4"/>
    <s v="Female"/>
    <n v="33"/>
    <n v="2"/>
    <n v="2"/>
    <x v="3"/>
    <n v="3"/>
    <s v="Married"/>
    <n v="4374"/>
    <n v="15411"/>
    <n v="0"/>
    <s v="Y"/>
    <x v="1"/>
    <n v="15"/>
    <n v="3"/>
    <n v="3"/>
    <n v="80"/>
    <n v="0"/>
    <n v="4"/>
    <n v="6"/>
    <n v="3"/>
    <n v="3"/>
    <n v="2"/>
    <n v="1"/>
    <n v="2"/>
    <x v="1"/>
    <x v="1"/>
    <x v="0"/>
  </r>
  <r>
    <n v="36"/>
    <x v="1"/>
    <s v="Travel_Rarely"/>
    <n v="1040"/>
    <x v="1"/>
    <n v="3"/>
    <n v="2"/>
    <s v="Life Sciences"/>
    <n v="1"/>
    <n v="1664"/>
    <n v="4"/>
    <s v="Male"/>
    <n v="79"/>
    <n v="4"/>
    <n v="2"/>
    <x v="4"/>
    <n v="1"/>
    <s v="Divorced"/>
    <n v="6842"/>
    <n v="26308"/>
    <n v="6"/>
    <s v="Y"/>
    <x v="1"/>
    <n v="20"/>
    <n v="4"/>
    <n v="1"/>
    <n v="80"/>
    <n v="1"/>
    <n v="13"/>
    <n v="3"/>
    <n v="3"/>
    <n v="5"/>
    <n v="4"/>
    <n v="0"/>
    <n v="4"/>
    <x v="1"/>
    <x v="1"/>
    <x v="0"/>
  </r>
  <r>
    <n v="54"/>
    <x v="1"/>
    <s v="Travel_Rarely"/>
    <n v="584"/>
    <x v="1"/>
    <n v="22"/>
    <n v="5"/>
    <s v="Medical"/>
    <n v="1"/>
    <n v="1665"/>
    <n v="2"/>
    <s v="Female"/>
    <n v="91"/>
    <n v="3"/>
    <n v="4"/>
    <x v="5"/>
    <n v="3"/>
    <s v="Married"/>
    <n v="17426"/>
    <n v="18685"/>
    <n v="3"/>
    <s v="Y"/>
    <x v="1"/>
    <n v="25"/>
    <n v="4"/>
    <n v="3"/>
    <n v="80"/>
    <n v="1"/>
    <n v="36"/>
    <n v="6"/>
    <n v="3"/>
    <n v="10"/>
    <n v="8"/>
    <n v="4"/>
    <n v="7"/>
    <x v="1"/>
    <x v="3"/>
    <x v="2"/>
  </r>
  <r>
    <n v="43"/>
    <x v="1"/>
    <s v="Travel_Rarely"/>
    <n v="1291"/>
    <x v="1"/>
    <n v="15"/>
    <n v="2"/>
    <s v="Life Sciences"/>
    <n v="1"/>
    <n v="1666"/>
    <n v="3"/>
    <s v="Male"/>
    <n v="65"/>
    <n v="2"/>
    <n v="4"/>
    <x v="7"/>
    <n v="3"/>
    <s v="Married"/>
    <n v="17603"/>
    <n v="3525"/>
    <n v="1"/>
    <s v="Y"/>
    <x v="1"/>
    <n v="24"/>
    <n v="4"/>
    <n v="1"/>
    <n v="80"/>
    <n v="1"/>
    <n v="14"/>
    <n v="3"/>
    <n v="3"/>
    <n v="14"/>
    <n v="10"/>
    <n v="6"/>
    <n v="11"/>
    <x v="1"/>
    <x v="0"/>
    <x v="2"/>
  </r>
  <r>
    <n v="35"/>
    <x v="0"/>
    <s v="Travel_Frequently"/>
    <n v="880"/>
    <x v="0"/>
    <n v="12"/>
    <n v="4"/>
    <s v="Other"/>
    <n v="1"/>
    <n v="1667"/>
    <n v="4"/>
    <s v="Male"/>
    <n v="36"/>
    <n v="3"/>
    <n v="2"/>
    <x v="0"/>
    <n v="4"/>
    <s v="Single"/>
    <n v="4581"/>
    <n v="10414"/>
    <n v="3"/>
    <s v="Y"/>
    <x v="0"/>
    <n v="24"/>
    <n v="4"/>
    <n v="1"/>
    <n v="80"/>
    <n v="0"/>
    <n v="13"/>
    <n v="2"/>
    <n v="4"/>
    <n v="11"/>
    <n v="9"/>
    <n v="6"/>
    <n v="7"/>
    <x v="0"/>
    <x v="1"/>
    <x v="0"/>
  </r>
  <r>
    <n v="38"/>
    <x v="1"/>
    <s v="Travel_Frequently"/>
    <n v="1189"/>
    <x v="1"/>
    <n v="1"/>
    <n v="3"/>
    <s v="Life Sciences"/>
    <n v="1"/>
    <n v="1668"/>
    <n v="4"/>
    <s v="Male"/>
    <n v="90"/>
    <n v="3"/>
    <n v="2"/>
    <x v="1"/>
    <n v="4"/>
    <s v="Married"/>
    <n v="4735"/>
    <n v="9867"/>
    <n v="7"/>
    <s v="Y"/>
    <x v="1"/>
    <n v="15"/>
    <n v="3"/>
    <n v="4"/>
    <n v="80"/>
    <n v="2"/>
    <n v="19"/>
    <n v="4"/>
    <n v="4"/>
    <n v="13"/>
    <n v="11"/>
    <n v="2"/>
    <n v="9"/>
    <x v="1"/>
    <x v="1"/>
    <x v="0"/>
  </r>
  <r>
    <n v="29"/>
    <x v="1"/>
    <s v="Travel_Rarely"/>
    <n v="991"/>
    <x v="0"/>
    <n v="5"/>
    <n v="3"/>
    <s v="Medical"/>
    <n v="1"/>
    <n v="1669"/>
    <n v="1"/>
    <s v="Male"/>
    <n v="43"/>
    <n v="2"/>
    <n v="2"/>
    <x v="0"/>
    <n v="2"/>
    <s v="Divorced"/>
    <n v="4187"/>
    <n v="3356"/>
    <n v="1"/>
    <s v="Y"/>
    <x v="0"/>
    <n v="13"/>
    <n v="3"/>
    <n v="2"/>
    <n v="80"/>
    <n v="1"/>
    <n v="10"/>
    <n v="3"/>
    <n v="2"/>
    <n v="10"/>
    <n v="0"/>
    <n v="0"/>
    <n v="9"/>
    <x v="1"/>
    <x v="2"/>
    <x v="0"/>
  </r>
  <r>
    <n v="33"/>
    <x v="1"/>
    <s v="Travel_Rarely"/>
    <n v="392"/>
    <x v="0"/>
    <n v="2"/>
    <n v="4"/>
    <s v="Medical"/>
    <n v="1"/>
    <n v="1670"/>
    <n v="4"/>
    <s v="Male"/>
    <n v="93"/>
    <n v="3"/>
    <n v="2"/>
    <x v="0"/>
    <n v="4"/>
    <s v="Divorced"/>
    <n v="5505"/>
    <n v="3921"/>
    <n v="1"/>
    <s v="Y"/>
    <x v="1"/>
    <n v="14"/>
    <n v="3"/>
    <n v="3"/>
    <n v="80"/>
    <n v="2"/>
    <n v="6"/>
    <n v="5"/>
    <n v="3"/>
    <n v="6"/>
    <n v="2"/>
    <n v="0"/>
    <n v="4"/>
    <x v="1"/>
    <x v="1"/>
    <x v="0"/>
  </r>
  <r>
    <n v="32"/>
    <x v="1"/>
    <s v="Travel_Rarely"/>
    <n v="977"/>
    <x v="1"/>
    <n v="2"/>
    <n v="3"/>
    <s v="Medical"/>
    <n v="1"/>
    <n v="1671"/>
    <n v="4"/>
    <s v="Male"/>
    <n v="45"/>
    <n v="3"/>
    <n v="2"/>
    <x v="1"/>
    <n v="2"/>
    <s v="Divorced"/>
    <n v="5470"/>
    <n v="25518"/>
    <n v="0"/>
    <s v="Y"/>
    <x v="1"/>
    <n v="13"/>
    <n v="3"/>
    <n v="3"/>
    <n v="80"/>
    <n v="2"/>
    <n v="10"/>
    <n v="4"/>
    <n v="2"/>
    <n v="9"/>
    <n v="5"/>
    <n v="1"/>
    <n v="6"/>
    <x v="1"/>
    <x v="1"/>
    <x v="0"/>
  </r>
  <r>
    <n v="31"/>
    <x v="1"/>
    <s v="Travel_Rarely"/>
    <n v="1112"/>
    <x v="0"/>
    <n v="5"/>
    <n v="4"/>
    <s v="Life Sciences"/>
    <n v="1"/>
    <n v="1673"/>
    <n v="1"/>
    <s v="Female"/>
    <n v="67"/>
    <n v="3"/>
    <n v="2"/>
    <x v="0"/>
    <n v="4"/>
    <s v="Married"/>
    <n v="5476"/>
    <n v="22589"/>
    <n v="1"/>
    <s v="Y"/>
    <x v="1"/>
    <n v="11"/>
    <n v="3"/>
    <n v="1"/>
    <n v="80"/>
    <n v="2"/>
    <n v="10"/>
    <n v="2"/>
    <n v="3"/>
    <n v="10"/>
    <n v="0"/>
    <n v="0"/>
    <n v="2"/>
    <x v="1"/>
    <x v="1"/>
    <x v="0"/>
  </r>
  <r>
    <n v="49"/>
    <x v="1"/>
    <s v="Travel_Rarely"/>
    <n v="464"/>
    <x v="1"/>
    <n v="16"/>
    <n v="3"/>
    <s v="Medical"/>
    <n v="1"/>
    <n v="1674"/>
    <n v="4"/>
    <s v="Female"/>
    <n v="74"/>
    <n v="3"/>
    <n v="1"/>
    <x v="2"/>
    <n v="1"/>
    <s v="Divorced"/>
    <n v="2587"/>
    <n v="24941"/>
    <n v="4"/>
    <s v="Y"/>
    <x v="0"/>
    <n v="16"/>
    <n v="3"/>
    <n v="2"/>
    <n v="80"/>
    <n v="1"/>
    <n v="17"/>
    <n v="2"/>
    <n v="2"/>
    <n v="2"/>
    <n v="2"/>
    <n v="2"/>
    <n v="2"/>
    <x v="1"/>
    <x v="0"/>
    <x v="1"/>
  </r>
  <r>
    <n v="38"/>
    <x v="1"/>
    <s v="Travel_Frequently"/>
    <n v="148"/>
    <x v="1"/>
    <n v="2"/>
    <n v="3"/>
    <s v="Medical"/>
    <n v="1"/>
    <n v="1675"/>
    <n v="4"/>
    <s v="Female"/>
    <n v="42"/>
    <n v="2"/>
    <n v="1"/>
    <x v="2"/>
    <n v="2"/>
    <s v="Single"/>
    <n v="2440"/>
    <n v="23826"/>
    <n v="1"/>
    <s v="Y"/>
    <x v="1"/>
    <n v="22"/>
    <n v="4"/>
    <n v="2"/>
    <n v="80"/>
    <n v="0"/>
    <n v="4"/>
    <n v="3"/>
    <n v="3"/>
    <n v="4"/>
    <n v="3"/>
    <n v="3"/>
    <n v="3"/>
    <x v="1"/>
    <x v="1"/>
    <x v="1"/>
  </r>
  <r>
    <n v="47"/>
    <x v="1"/>
    <s v="Travel_Rarely"/>
    <n v="1225"/>
    <x v="0"/>
    <n v="2"/>
    <n v="4"/>
    <s v="Life Sciences"/>
    <n v="1"/>
    <n v="1676"/>
    <n v="2"/>
    <s v="Female"/>
    <n v="47"/>
    <n v="4"/>
    <n v="4"/>
    <x v="5"/>
    <n v="2"/>
    <s v="Divorced"/>
    <n v="15972"/>
    <n v="21086"/>
    <n v="6"/>
    <s v="Y"/>
    <x v="1"/>
    <n v="14"/>
    <n v="3"/>
    <n v="3"/>
    <n v="80"/>
    <n v="3"/>
    <n v="29"/>
    <n v="2"/>
    <n v="3"/>
    <n v="3"/>
    <n v="2"/>
    <n v="1"/>
    <n v="2"/>
    <x v="1"/>
    <x v="0"/>
    <x v="2"/>
  </r>
  <r>
    <n v="49"/>
    <x v="1"/>
    <s v="Travel_Rarely"/>
    <n v="809"/>
    <x v="1"/>
    <n v="1"/>
    <n v="3"/>
    <s v="Life Sciences"/>
    <n v="1"/>
    <n v="1677"/>
    <n v="3"/>
    <s v="Male"/>
    <n v="36"/>
    <n v="3"/>
    <n v="4"/>
    <x v="5"/>
    <n v="3"/>
    <s v="Single"/>
    <n v="15379"/>
    <n v="22384"/>
    <n v="4"/>
    <s v="Y"/>
    <x v="1"/>
    <n v="14"/>
    <n v="3"/>
    <n v="1"/>
    <n v="80"/>
    <n v="0"/>
    <n v="23"/>
    <n v="2"/>
    <n v="3"/>
    <n v="8"/>
    <n v="7"/>
    <n v="0"/>
    <n v="0"/>
    <x v="1"/>
    <x v="0"/>
    <x v="2"/>
  </r>
  <r>
    <n v="41"/>
    <x v="1"/>
    <s v="Travel_Rarely"/>
    <n v="1206"/>
    <x v="0"/>
    <n v="23"/>
    <n v="2"/>
    <s v="Life Sciences"/>
    <n v="1"/>
    <n v="1678"/>
    <n v="4"/>
    <s v="Male"/>
    <n v="80"/>
    <n v="3"/>
    <n v="3"/>
    <x v="0"/>
    <n v="3"/>
    <s v="Single"/>
    <n v="7082"/>
    <n v="11591"/>
    <n v="3"/>
    <s v="Y"/>
    <x v="0"/>
    <n v="16"/>
    <n v="3"/>
    <n v="4"/>
    <n v="80"/>
    <n v="0"/>
    <n v="21"/>
    <n v="2"/>
    <n v="3"/>
    <n v="2"/>
    <n v="0"/>
    <n v="0"/>
    <n v="2"/>
    <x v="1"/>
    <x v="0"/>
    <x v="2"/>
  </r>
  <r>
    <n v="20"/>
    <x v="1"/>
    <s v="Travel_Rarely"/>
    <n v="727"/>
    <x v="0"/>
    <n v="9"/>
    <n v="1"/>
    <s v="Life Sciences"/>
    <n v="1"/>
    <n v="1680"/>
    <n v="4"/>
    <s v="Male"/>
    <n v="54"/>
    <n v="3"/>
    <n v="1"/>
    <x v="6"/>
    <n v="1"/>
    <s v="Single"/>
    <n v="2728"/>
    <n v="21082"/>
    <n v="1"/>
    <s v="Y"/>
    <x v="1"/>
    <n v="11"/>
    <n v="3"/>
    <n v="1"/>
    <n v="80"/>
    <n v="0"/>
    <n v="2"/>
    <n v="3"/>
    <n v="3"/>
    <n v="2"/>
    <n v="2"/>
    <n v="0"/>
    <n v="2"/>
    <x v="1"/>
    <x v="2"/>
    <x v="1"/>
  </r>
  <r>
    <n v="33"/>
    <x v="1"/>
    <s v="Non-Travel"/>
    <n v="530"/>
    <x v="0"/>
    <n v="16"/>
    <n v="3"/>
    <s v="Life Sciences"/>
    <n v="1"/>
    <n v="1681"/>
    <n v="3"/>
    <s v="Female"/>
    <n v="36"/>
    <n v="3"/>
    <n v="2"/>
    <x v="0"/>
    <n v="4"/>
    <s v="Divorced"/>
    <n v="5368"/>
    <n v="16130"/>
    <n v="1"/>
    <s v="Y"/>
    <x v="0"/>
    <n v="25"/>
    <n v="4"/>
    <n v="3"/>
    <n v="80"/>
    <n v="1"/>
    <n v="7"/>
    <n v="2"/>
    <n v="3"/>
    <n v="6"/>
    <n v="5"/>
    <n v="1"/>
    <n v="2"/>
    <x v="1"/>
    <x v="1"/>
    <x v="0"/>
  </r>
  <r>
    <n v="36"/>
    <x v="1"/>
    <s v="Travel_Rarely"/>
    <n v="1351"/>
    <x v="1"/>
    <n v="26"/>
    <n v="4"/>
    <s v="Life Sciences"/>
    <n v="1"/>
    <n v="1682"/>
    <n v="1"/>
    <s v="Male"/>
    <n v="80"/>
    <n v="3"/>
    <n v="2"/>
    <x v="4"/>
    <n v="3"/>
    <s v="Married"/>
    <n v="5347"/>
    <n v="7419"/>
    <n v="6"/>
    <s v="Y"/>
    <x v="1"/>
    <n v="14"/>
    <n v="3"/>
    <n v="2"/>
    <n v="80"/>
    <n v="2"/>
    <n v="10"/>
    <n v="2"/>
    <n v="2"/>
    <n v="3"/>
    <n v="2"/>
    <n v="0"/>
    <n v="2"/>
    <x v="1"/>
    <x v="1"/>
    <x v="0"/>
  </r>
  <r>
    <n v="44"/>
    <x v="1"/>
    <s v="Travel_Rarely"/>
    <n v="528"/>
    <x v="2"/>
    <n v="1"/>
    <n v="3"/>
    <s v="Life Sciences"/>
    <n v="1"/>
    <n v="1683"/>
    <n v="3"/>
    <s v="Female"/>
    <n v="44"/>
    <n v="3"/>
    <n v="1"/>
    <x v="8"/>
    <n v="4"/>
    <s v="Divorced"/>
    <n v="3195"/>
    <n v="4167"/>
    <n v="4"/>
    <s v="Y"/>
    <x v="0"/>
    <n v="18"/>
    <n v="3"/>
    <n v="1"/>
    <n v="80"/>
    <n v="3"/>
    <n v="8"/>
    <n v="2"/>
    <n v="3"/>
    <n v="2"/>
    <n v="2"/>
    <n v="2"/>
    <n v="2"/>
    <x v="1"/>
    <x v="0"/>
    <x v="0"/>
  </r>
  <r>
    <n v="23"/>
    <x v="0"/>
    <s v="Travel_Rarely"/>
    <n v="1320"/>
    <x v="1"/>
    <n v="8"/>
    <n v="1"/>
    <s v="Medical"/>
    <n v="1"/>
    <n v="1684"/>
    <n v="4"/>
    <s v="Male"/>
    <n v="93"/>
    <n v="2"/>
    <n v="1"/>
    <x v="2"/>
    <n v="3"/>
    <s v="Single"/>
    <n v="3989"/>
    <n v="20586"/>
    <n v="1"/>
    <s v="Y"/>
    <x v="0"/>
    <n v="11"/>
    <n v="3"/>
    <n v="1"/>
    <n v="80"/>
    <n v="0"/>
    <n v="5"/>
    <n v="2"/>
    <n v="3"/>
    <n v="5"/>
    <n v="4"/>
    <n v="1"/>
    <n v="2"/>
    <x v="0"/>
    <x v="2"/>
    <x v="0"/>
  </r>
  <r>
    <n v="38"/>
    <x v="1"/>
    <s v="Travel_Rarely"/>
    <n v="1495"/>
    <x v="1"/>
    <n v="4"/>
    <n v="2"/>
    <s v="Medical"/>
    <n v="1"/>
    <n v="1687"/>
    <n v="4"/>
    <s v="Female"/>
    <n v="87"/>
    <n v="3"/>
    <n v="1"/>
    <x v="2"/>
    <n v="3"/>
    <s v="Married"/>
    <n v="3306"/>
    <n v="26176"/>
    <n v="7"/>
    <s v="Y"/>
    <x v="1"/>
    <n v="19"/>
    <n v="3"/>
    <n v="4"/>
    <n v="80"/>
    <n v="1"/>
    <n v="7"/>
    <n v="5"/>
    <n v="2"/>
    <n v="0"/>
    <n v="0"/>
    <n v="0"/>
    <n v="0"/>
    <x v="1"/>
    <x v="1"/>
    <x v="0"/>
  </r>
  <r>
    <n v="53"/>
    <x v="1"/>
    <s v="Travel_Rarely"/>
    <n v="1395"/>
    <x v="1"/>
    <n v="24"/>
    <n v="4"/>
    <s v="Medical"/>
    <n v="1"/>
    <n v="1689"/>
    <n v="2"/>
    <s v="Male"/>
    <n v="48"/>
    <n v="4"/>
    <n v="3"/>
    <x v="4"/>
    <n v="4"/>
    <s v="Married"/>
    <n v="7005"/>
    <n v="3458"/>
    <n v="3"/>
    <s v="Y"/>
    <x v="1"/>
    <n v="15"/>
    <n v="3"/>
    <n v="3"/>
    <n v="80"/>
    <n v="0"/>
    <n v="11"/>
    <n v="2"/>
    <n v="3"/>
    <n v="4"/>
    <n v="3"/>
    <n v="1"/>
    <n v="2"/>
    <x v="1"/>
    <x v="3"/>
    <x v="2"/>
  </r>
  <r>
    <n v="48"/>
    <x v="0"/>
    <s v="Travel_Frequently"/>
    <n v="708"/>
    <x v="0"/>
    <n v="7"/>
    <n v="2"/>
    <s v="Medical"/>
    <n v="1"/>
    <n v="1691"/>
    <n v="4"/>
    <s v="Female"/>
    <n v="95"/>
    <n v="3"/>
    <n v="1"/>
    <x v="6"/>
    <n v="3"/>
    <s v="Married"/>
    <n v="2655"/>
    <n v="11740"/>
    <n v="2"/>
    <s v="Y"/>
    <x v="0"/>
    <n v="11"/>
    <n v="3"/>
    <n v="3"/>
    <n v="80"/>
    <n v="2"/>
    <n v="19"/>
    <n v="3"/>
    <n v="3"/>
    <n v="9"/>
    <n v="7"/>
    <n v="7"/>
    <n v="7"/>
    <x v="0"/>
    <x v="0"/>
    <x v="1"/>
  </r>
  <r>
    <n v="32"/>
    <x v="0"/>
    <s v="Travel_Rarely"/>
    <n v="1259"/>
    <x v="1"/>
    <n v="2"/>
    <n v="4"/>
    <s v="Life Sciences"/>
    <n v="1"/>
    <n v="1692"/>
    <n v="4"/>
    <s v="Male"/>
    <n v="95"/>
    <n v="3"/>
    <n v="1"/>
    <x v="2"/>
    <n v="2"/>
    <s v="Single"/>
    <n v="1393"/>
    <n v="24852"/>
    <n v="1"/>
    <s v="Y"/>
    <x v="1"/>
    <n v="12"/>
    <n v="3"/>
    <n v="1"/>
    <n v="80"/>
    <n v="0"/>
    <n v="1"/>
    <n v="2"/>
    <n v="3"/>
    <n v="1"/>
    <n v="0"/>
    <n v="0"/>
    <n v="0"/>
    <x v="0"/>
    <x v="1"/>
    <x v="1"/>
  </r>
  <r>
    <n v="26"/>
    <x v="1"/>
    <s v="Non-Travel"/>
    <n v="786"/>
    <x v="1"/>
    <n v="7"/>
    <n v="3"/>
    <s v="Medical"/>
    <n v="1"/>
    <n v="1693"/>
    <n v="4"/>
    <s v="Male"/>
    <n v="76"/>
    <n v="3"/>
    <n v="1"/>
    <x v="2"/>
    <n v="4"/>
    <s v="Single"/>
    <n v="2570"/>
    <n v="11925"/>
    <n v="1"/>
    <s v="Y"/>
    <x v="1"/>
    <n v="20"/>
    <n v="4"/>
    <n v="3"/>
    <n v="80"/>
    <n v="0"/>
    <n v="7"/>
    <n v="5"/>
    <n v="3"/>
    <n v="7"/>
    <n v="7"/>
    <n v="5"/>
    <n v="7"/>
    <x v="1"/>
    <x v="2"/>
    <x v="1"/>
  </r>
  <r>
    <n v="55"/>
    <x v="1"/>
    <s v="Travel_Rarely"/>
    <n v="1441"/>
    <x v="1"/>
    <n v="22"/>
    <n v="3"/>
    <s v="Technical Degree"/>
    <n v="1"/>
    <n v="1694"/>
    <n v="1"/>
    <s v="Male"/>
    <n v="94"/>
    <n v="2"/>
    <n v="1"/>
    <x v="1"/>
    <n v="2"/>
    <s v="Divorced"/>
    <n v="3537"/>
    <n v="23737"/>
    <n v="5"/>
    <s v="Y"/>
    <x v="1"/>
    <n v="12"/>
    <n v="3"/>
    <n v="4"/>
    <n v="80"/>
    <n v="1"/>
    <n v="8"/>
    <n v="1"/>
    <n v="3"/>
    <n v="4"/>
    <n v="2"/>
    <n v="1"/>
    <n v="2"/>
    <x v="1"/>
    <x v="3"/>
    <x v="0"/>
  </r>
  <r>
    <n v="34"/>
    <x v="1"/>
    <s v="Travel_Rarely"/>
    <n v="1157"/>
    <x v="1"/>
    <n v="5"/>
    <n v="2"/>
    <s v="Medical"/>
    <n v="1"/>
    <n v="1696"/>
    <n v="2"/>
    <s v="Male"/>
    <n v="57"/>
    <n v="2"/>
    <n v="2"/>
    <x v="2"/>
    <n v="4"/>
    <s v="Married"/>
    <n v="3986"/>
    <n v="11912"/>
    <n v="1"/>
    <s v="Y"/>
    <x v="1"/>
    <n v="14"/>
    <n v="3"/>
    <n v="3"/>
    <n v="80"/>
    <n v="1"/>
    <n v="15"/>
    <n v="3"/>
    <n v="4"/>
    <n v="15"/>
    <n v="10"/>
    <n v="4"/>
    <n v="13"/>
    <x v="1"/>
    <x v="1"/>
    <x v="0"/>
  </r>
  <r>
    <n v="60"/>
    <x v="1"/>
    <s v="Travel_Rarely"/>
    <n v="370"/>
    <x v="1"/>
    <n v="1"/>
    <n v="4"/>
    <s v="Medical"/>
    <n v="1"/>
    <n v="1697"/>
    <n v="3"/>
    <s v="Male"/>
    <n v="92"/>
    <n v="1"/>
    <n v="3"/>
    <x v="4"/>
    <n v="4"/>
    <s v="Divorced"/>
    <n v="10883"/>
    <n v="20467"/>
    <n v="3"/>
    <s v="Y"/>
    <x v="1"/>
    <n v="20"/>
    <n v="4"/>
    <n v="3"/>
    <n v="80"/>
    <n v="1"/>
    <n v="19"/>
    <n v="2"/>
    <n v="4"/>
    <n v="1"/>
    <n v="0"/>
    <n v="0"/>
    <n v="0"/>
    <x v="1"/>
    <x v="3"/>
    <x v="2"/>
  </r>
  <r>
    <n v="33"/>
    <x v="1"/>
    <s v="Travel_Rarely"/>
    <n v="267"/>
    <x v="1"/>
    <n v="21"/>
    <n v="3"/>
    <s v="Medical"/>
    <n v="1"/>
    <n v="1698"/>
    <n v="2"/>
    <s v="Male"/>
    <n v="79"/>
    <n v="4"/>
    <n v="1"/>
    <x v="2"/>
    <n v="2"/>
    <s v="Married"/>
    <n v="2028"/>
    <n v="13637"/>
    <n v="1"/>
    <s v="Y"/>
    <x v="1"/>
    <n v="18"/>
    <n v="3"/>
    <n v="4"/>
    <n v="80"/>
    <n v="3"/>
    <n v="14"/>
    <n v="6"/>
    <n v="3"/>
    <n v="14"/>
    <n v="11"/>
    <n v="2"/>
    <n v="13"/>
    <x v="1"/>
    <x v="1"/>
    <x v="1"/>
  </r>
  <r>
    <n v="37"/>
    <x v="1"/>
    <s v="Travel_Frequently"/>
    <n v="1278"/>
    <x v="0"/>
    <n v="1"/>
    <n v="4"/>
    <s v="Medical"/>
    <n v="1"/>
    <n v="1700"/>
    <n v="3"/>
    <s v="Male"/>
    <n v="31"/>
    <n v="1"/>
    <n v="2"/>
    <x v="0"/>
    <n v="4"/>
    <s v="Divorced"/>
    <n v="9525"/>
    <n v="7677"/>
    <n v="1"/>
    <s v="Y"/>
    <x v="1"/>
    <n v="14"/>
    <n v="3"/>
    <n v="3"/>
    <n v="80"/>
    <n v="2"/>
    <n v="6"/>
    <n v="2"/>
    <n v="2"/>
    <n v="6"/>
    <n v="3"/>
    <n v="1"/>
    <n v="3"/>
    <x v="1"/>
    <x v="1"/>
    <x v="2"/>
  </r>
  <r>
    <n v="34"/>
    <x v="1"/>
    <s v="Travel_Rarely"/>
    <n v="678"/>
    <x v="1"/>
    <n v="19"/>
    <n v="3"/>
    <s v="Life Sciences"/>
    <n v="1"/>
    <n v="1701"/>
    <n v="2"/>
    <s v="Female"/>
    <n v="35"/>
    <n v="2"/>
    <n v="1"/>
    <x v="1"/>
    <n v="4"/>
    <s v="Married"/>
    <n v="2929"/>
    <n v="20338"/>
    <n v="1"/>
    <s v="Y"/>
    <x v="1"/>
    <n v="12"/>
    <n v="3"/>
    <n v="2"/>
    <n v="80"/>
    <n v="0"/>
    <n v="10"/>
    <n v="3"/>
    <n v="3"/>
    <n v="10"/>
    <n v="9"/>
    <n v="8"/>
    <n v="7"/>
    <x v="1"/>
    <x v="1"/>
    <x v="1"/>
  </r>
  <r>
    <n v="23"/>
    <x v="0"/>
    <s v="Travel_Rarely"/>
    <n v="427"/>
    <x v="0"/>
    <n v="7"/>
    <n v="3"/>
    <s v="Life Sciences"/>
    <n v="1"/>
    <n v="1702"/>
    <n v="3"/>
    <s v="Male"/>
    <n v="99"/>
    <n v="3"/>
    <n v="1"/>
    <x v="6"/>
    <n v="4"/>
    <s v="Divorced"/>
    <n v="2275"/>
    <n v="25103"/>
    <n v="1"/>
    <s v="Y"/>
    <x v="0"/>
    <n v="21"/>
    <n v="4"/>
    <n v="2"/>
    <n v="80"/>
    <n v="1"/>
    <n v="3"/>
    <n v="2"/>
    <n v="3"/>
    <n v="3"/>
    <n v="2"/>
    <n v="0"/>
    <n v="2"/>
    <x v="0"/>
    <x v="2"/>
    <x v="1"/>
  </r>
  <r>
    <n v="44"/>
    <x v="1"/>
    <s v="Travel_Rarely"/>
    <n v="921"/>
    <x v="1"/>
    <n v="2"/>
    <n v="3"/>
    <s v="Life Sciences"/>
    <n v="1"/>
    <n v="1703"/>
    <n v="3"/>
    <s v="Female"/>
    <n v="96"/>
    <n v="4"/>
    <n v="3"/>
    <x v="4"/>
    <n v="4"/>
    <s v="Married"/>
    <n v="7879"/>
    <n v="14810"/>
    <n v="1"/>
    <s v="Y"/>
    <x v="0"/>
    <n v="19"/>
    <n v="3"/>
    <n v="2"/>
    <n v="80"/>
    <n v="1"/>
    <n v="9"/>
    <n v="2"/>
    <n v="3"/>
    <n v="8"/>
    <n v="7"/>
    <n v="6"/>
    <n v="7"/>
    <x v="1"/>
    <x v="0"/>
    <x v="2"/>
  </r>
  <r>
    <n v="35"/>
    <x v="1"/>
    <s v="Travel_Frequently"/>
    <n v="146"/>
    <x v="1"/>
    <n v="2"/>
    <n v="4"/>
    <s v="Medical"/>
    <n v="1"/>
    <n v="1704"/>
    <n v="1"/>
    <s v="Male"/>
    <n v="79"/>
    <n v="2"/>
    <n v="1"/>
    <x v="1"/>
    <n v="4"/>
    <s v="Single"/>
    <n v="4930"/>
    <n v="13970"/>
    <n v="0"/>
    <s v="Y"/>
    <x v="0"/>
    <n v="14"/>
    <n v="3"/>
    <n v="3"/>
    <n v="80"/>
    <n v="0"/>
    <n v="6"/>
    <n v="2"/>
    <n v="4"/>
    <n v="5"/>
    <n v="4"/>
    <n v="1"/>
    <n v="4"/>
    <x v="1"/>
    <x v="1"/>
    <x v="0"/>
  </r>
  <r>
    <n v="43"/>
    <x v="1"/>
    <s v="Travel_Rarely"/>
    <n v="1179"/>
    <x v="0"/>
    <n v="2"/>
    <n v="3"/>
    <s v="Medical"/>
    <n v="1"/>
    <n v="1706"/>
    <n v="4"/>
    <s v="Male"/>
    <n v="73"/>
    <n v="3"/>
    <n v="2"/>
    <x v="0"/>
    <n v="4"/>
    <s v="Married"/>
    <n v="7847"/>
    <n v="6069"/>
    <n v="1"/>
    <s v="Y"/>
    <x v="0"/>
    <n v="17"/>
    <n v="3"/>
    <n v="1"/>
    <n v="80"/>
    <n v="1"/>
    <n v="10"/>
    <n v="3"/>
    <n v="3"/>
    <n v="10"/>
    <n v="9"/>
    <n v="8"/>
    <n v="8"/>
    <x v="1"/>
    <x v="0"/>
    <x v="2"/>
  </r>
  <r>
    <n v="24"/>
    <x v="1"/>
    <s v="Travel_Rarely"/>
    <n v="581"/>
    <x v="1"/>
    <n v="9"/>
    <n v="3"/>
    <s v="Medical"/>
    <n v="1"/>
    <n v="1707"/>
    <n v="3"/>
    <s v="Male"/>
    <n v="62"/>
    <n v="4"/>
    <n v="1"/>
    <x v="1"/>
    <n v="3"/>
    <s v="Married"/>
    <n v="4401"/>
    <n v="17616"/>
    <n v="1"/>
    <s v="Y"/>
    <x v="1"/>
    <n v="16"/>
    <n v="3"/>
    <n v="4"/>
    <n v="80"/>
    <n v="1"/>
    <n v="5"/>
    <n v="1"/>
    <n v="3"/>
    <n v="5"/>
    <n v="3"/>
    <n v="0"/>
    <n v="4"/>
    <x v="1"/>
    <x v="2"/>
    <x v="0"/>
  </r>
  <r>
    <n v="41"/>
    <x v="1"/>
    <s v="Travel_Rarely"/>
    <n v="918"/>
    <x v="0"/>
    <n v="6"/>
    <n v="3"/>
    <s v="Marketing"/>
    <n v="1"/>
    <n v="1708"/>
    <n v="4"/>
    <s v="Male"/>
    <n v="35"/>
    <n v="3"/>
    <n v="3"/>
    <x v="0"/>
    <n v="3"/>
    <s v="Single"/>
    <n v="9241"/>
    <n v="15869"/>
    <n v="1"/>
    <s v="Y"/>
    <x v="1"/>
    <n v="12"/>
    <n v="3"/>
    <n v="2"/>
    <n v="80"/>
    <n v="0"/>
    <n v="10"/>
    <n v="3"/>
    <n v="3"/>
    <n v="10"/>
    <n v="8"/>
    <n v="8"/>
    <n v="7"/>
    <x v="1"/>
    <x v="0"/>
    <x v="2"/>
  </r>
  <r>
    <n v="29"/>
    <x v="1"/>
    <s v="Travel_Rarely"/>
    <n v="1082"/>
    <x v="1"/>
    <n v="9"/>
    <n v="4"/>
    <s v="Medical"/>
    <n v="1"/>
    <n v="1709"/>
    <n v="4"/>
    <s v="Female"/>
    <n v="43"/>
    <n v="3"/>
    <n v="1"/>
    <x v="2"/>
    <n v="3"/>
    <s v="Married"/>
    <n v="2974"/>
    <n v="25412"/>
    <n v="9"/>
    <s v="Y"/>
    <x v="1"/>
    <n v="17"/>
    <n v="3"/>
    <n v="3"/>
    <n v="80"/>
    <n v="1"/>
    <n v="9"/>
    <n v="2"/>
    <n v="3"/>
    <n v="5"/>
    <n v="3"/>
    <n v="1"/>
    <n v="2"/>
    <x v="1"/>
    <x v="2"/>
    <x v="1"/>
  </r>
  <r>
    <n v="36"/>
    <x v="1"/>
    <s v="Travel_Rarely"/>
    <n v="530"/>
    <x v="0"/>
    <n v="2"/>
    <n v="4"/>
    <s v="Life Sciences"/>
    <n v="1"/>
    <n v="1710"/>
    <n v="3"/>
    <s v="Female"/>
    <n v="51"/>
    <n v="3"/>
    <n v="2"/>
    <x v="6"/>
    <n v="4"/>
    <s v="Single"/>
    <n v="4502"/>
    <n v="7439"/>
    <n v="3"/>
    <s v="Y"/>
    <x v="1"/>
    <n v="15"/>
    <n v="3"/>
    <n v="3"/>
    <n v="80"/>
    <n v="0"/>
    <n v="17"/>
    <n v="2"/>
    <n v="2"/>
    <n v="13"/>
    <n v="7"/>
    <n v="6"/>
    <n v="7"/>
    <x v="1"/>
    <x v="1"/>
    <x v="0"/>
  </r>
  <r>
    <n v="45"/>
    <x v="1"/>
    <s v="Non-Travel"/>
    <n v="1238"/>
    <x v="1"/>
    <n v="1"/>
    <n v="1"/>
    <s v="Life Sciences"/>
    <n v="1"/>
    <n v="1712"/>
    <n v="3"/>
    <s v="Male"/>
    <n v="74"/>
    <n v="2"/>
    <n v="3"/>
    <x v="4"/>
    <n v="3"/>
    <s v="Married"/>
    <n v="10748"/>
    <n v="3395"/>
    <n v="3"/>
    <s v="Y"/>
    <x v="1"/>
    <n v="23"/>
    <n v="4"/>
    <n v="4"/>
    <n v="80"/>
    <n v="1"/>
    <n v="25"/>
    <n v="3"/>
    <n v="2"/>
    <n v="23"/>
    <n v="15"/>
    <n v="14"/>
    <n v="4"/>
    <x v="1"/>
    <x v="0"/>
    <x v="2"/>
  </r>
  <r>
    <n v="24"/>
    <x v="0"/>
    <s v="Travel_Rarely"/>
    <n v="240"/>
    <x v="2"/>
    <n v="22"/>
    <n v="1"/>
    <s v="Human Resources"/>
    <n v="1"/>
    <n v="1714"/>
    <n v="4"/>
    <s v="Male"/>
    <n v="58"/>
    <n v="1"/>
    <n v="1"/>
    <x v="8"/>
    <n v="3"/>
    <s v="Married"/>
    <n v="1555"/>
    <n v="11585"/>
    <n v="1"/>
    <s v="Y"/>
    <x v="1"/>
    <n v="11"/>
    <n v="3"/>
    <n v="3"/>
    <n v="80"/>
    <n v="1"/>
    <n v="1"/>
    <n v="2"/>
    <n v="3"/>
    <n v="1"/>
    <n v="0"/>
    <n v="0"/>
    <n v="0"/>
    <x v="0"/>
    <x v="2"/>
    <x v="1"/>
  </r>
  <r>
    <n v="47"/>
    <x v="0"/>
    <s v="Travel_Frequently"/>
    <n v="1093"/>
    <x v="0"/>
    <n v="9"/>
    <n v="3"/>
    <s v="Life Sciences"/>
    <n v="1"/>
    <n v="1716"/>
    <n v="3"/>
    <s v="Male"/>
    <n v="82"/>
    <n v="1"/>
    <n v="4"/>
    <x v="0"/>
    <n v="3"/>
    <s v="Married"/>
    <n v="12936"/>
    <n v="24164"/>
    <n v="7"/>
    <s v="Y"/>
    <x v="1"/>
    <n v="11"/>
    <n v="3"/>
    <n v="3"/>
    <n v="80"/>
    <n v="0"/>
    <n v="25"/>
    <n v="3"/>
    <n v="1"/>
    <n v="23"/>
    <n v="5"/>
    <n v="14"/>
    <n v="10"/>
    <x v="0"/>
    <x v="0"/>
    <x v="2"/>
  </r>
  <r>
    <n v="26"/>
    <x v="1"/>
    <s v="Travel_Rarely"/>
    <n v="390"/>
    <x v="1"/>
    <n v="17"/>
    <n v="4"/>
    <s v="Medical"/>
    <n v="1"/>
    <n v="1718"/>
    <n v="4"/>
    <s v="Male"/>
    <n v="62"/>
    <n v="1"/>
    <n v="1"/>
    <x v="2"/>
    <n v="3"/>
    <s v="Married"/>
    <n v="2305"/>
    <n v="6217"/>
    <n v="1"/>
    <s v="Y"/>
    <x v="1"/>
    <n v="15"/>
    <n v="3"/>
    <n v="3"/>
    <n v="80"/>
    <n v="3"/>
    <n v="3"/>
    <n v="3"/>
    <n v="4"/>
    <n v="3"/>
    <n v="2"/>
    <n v="0"/>
    <n v="2"/>
    <x v="1"/>
    <x v="2"/>
    <x v="1"/>
  </r>
  <r>
    <n v="45"/>
    <x v="1"/>
    <s v="Travel_Rarely"/>
    <n v="1005"/>
    <x v="1"/>
    <n v="28"/>
    <n v="2"/>
    <s v="Technical Degree"/>
    <n v="1"/>
    <n v="1719"/>
    <n v="4"/>
    <s v="Female"/>
    <n v="48"/>
    <n v="2"/>
    <n v="4"/>
    <x v="7"/>
    <n v="2"/>
    <s v="Single"/>
    <n v="16704"/>
    <n v="17119"/>
    <n v="1"/>
    <s v="Y"/>
    <x v="1"/>
    <n v="11"/>
    <n v="3"/>
    <n v="3"/>
    <n v="80"/>
    <n v="0"/>
    <n v="21"/>
    <n v="2"/>
    <n v="3"/>
    <n v="21"/>
    <n v="6"/>
    <n v="8"/>
    <n v="6"/>
    <x v="1"/>
    <x v="0"/>
    <x v="2"/>
  </r>
  <r>
    <n v="32"/>
    <x v="1"/>
    <s v="Travel_Frequently"/>
    <n v="585"/>
    <x v="1"/>
    <n v="10"/>
    <n v="3"/>
    <s v="Life Sciences"/>
    <n v="1"/>
    <n v="1720"/>
    <n v="1"/>
    <s v="Male"/>
    <n v="56"/>
    <n v="3"/>
    <n v="1"/>
    <x v="1"/>
    <n v="3"/>
    <s v="Married"/>
    <n v="3433"/>
    <n v="17360"/>
    <n v="6"/>
    <s v="Y"/>
    <x v="1"/>
    <n v="13"/>
    <n v="3"/>
    <n v="1"/>
    <n v="80"/>
    <n v="1"/>
    <n v="10"/>
    <n v="3"/>
    <n v="2"/>
    <n v="5"/>
    <n v="2"/>
    <n v="1"/>
    <n v="3"/>
    <x v="1"/>
    <x v="1"/>
    <x v="0"/>
  </r>
  <r>
    <n v="31"/>
    <x v="1"/>
    <s v="Travel_Rarely"/>
    <n v="741"/>
    <x v="1"/>
    <n v="2"/>
    <n v="4"/>
    <s v="Life Sciences"/>
    <n v="1"/>
    <n v="1721"/>
    <n v="2"/>
    <s v="Male"/>
    <n v="69"/>
    <n v="3"/>
    <n v="1"/>
    <x v="2"/>
    <n v="3"/>
    <s v="Married"/>
    <n v="3477"/>
    <n v="18103"/>
    <n v="1"/>
    <s v="Y"/>
    <x v="1"/>
    <n v="14"/>
    <n v="3"/>
    <n v="4"/>
    <n v="80"/>
    <n v="1"/>
    <n v="6"/>
    <n v="2"/>
    <n v="4"/>
    <n v="5"/>
    <n v="2"/>
    <n v="0"/>
    <n v="3"/>
    <x v="1"/>
    <x v="1"/>
    <x v="0"/>
  </r>
  <r>
    <n v="41"/>
    <x v="1"/>
    <s v="Non-Travel"/>
    <n v="552"/>
    <x v="2"/>
    <n v="4"/>
    <n v="3"/>
    <s v="Human Resources"/>
    <n v="1"/>
    <n v="1722"/>
    <n v="3"/>
    <s v="Male"/>
    <n v="60"/>
    <n v="1"/>
    <n v="2"/>
    <x v="8"/>
    <n v="2"/>
    <s v="Married"/>
    <n v="6430"/>
    <n v="20794"/>
    <n v="6"/>
    <s v="Y"/>
    <x v="1"/>
    <n v="19"/>
    <n v="3"/>
    <n v="2"/>
    <n v="80"/>
    <n v="1"/>
    <n v="10"/>
    <n v="4"/>
    <n v="3"/>
    <n v="3"/>
    <n v="2"/>
    <n v="1"/>
    <n v="2"/>
    <x v="1"/>
    <x v="0"/>
    <x v="0"/>
  </r>
  <r>
    <n v="40"/>
    <x v="1"/>
    <s v="Travel_Rarely"/>
    <n v="369"/>
    <x v="1"/>
    <n v="8"/>
    <n v="2"/>
    <s v="Life Sciences"/>
    <n v="1"/>
    <n v="1724"/>
    <n v="2"/>
    <s v="Female"/>
    <n v="92"/>
    <n v="3"/>
    <n v="2"/>
    <x v="3"/>
    <n v="1"/>
    <s v="Married"/>
    <n v="6516"/>
    <n v="5041"/>
    <n v="2"/>
    <s v="Y"/>
    <x v="0"/>
    <n v="16"/>
    <n v="3"/>
    <n v="2"/>
    <n v="80"/>
    <n v="1"/>
    <n v="18"/>
    <n v="3"/>
    <n v="3"/>
    <n v="1"/>
    <n v="0"/>
    <n v="0"/>
    <n v="0"/>
    <x v="1"/>
    <x v="0"/>
    <x v="0"/>
  </r>
  <r>
    <n v="24"/>
    <x v="1"/>
    <s v="Travel_Rarely"/>
    <n v="506"/>
    <x v="1"/>
    <n v="29"/>
    <n v="1"/>
    <s v="Medical"/>
    <n v="1"/>
    <n v="1725"/>
    <n v="2"/>
    <s v="Male"/>
    <n v="91"/>
    <n v="3"/>
    <n v="1"/>
    <x v="2"/>
    <n v="1"/>
    <s v="Divorced"/>
    <n v="3907"/>
    <n v="3622"/>
    <n v="1"/>
    <s v="Y"/>
    <x v="1"/>
    <n v="13"/>
    <n v="3"/>
    <n v="2"/>
    <n v="80"/>
    <n v="3"/>
    <n v="6"/>
    <n v="2"/>
    <n v="4"/>
    <n v="6"/>
    <n v="2"/>
    <n v="1"/>
    <n v="2"/>
    <x v="1"/>
    <x v="2"/>
    <x v="0"/>
  </r>
  <r>
    <n v="46"/>
    <x v="1"/>
    <s v="Travel_Rarely"/>
    <n v="717"/>
    <x v="1"/>
    <n v="13"/>
    <n v="4"/>
    <s v="Life Sciences"/>
    <n v="1"/>
    <n v="1727"/>
    <n v="3"/>
    <s v="Male"/>
    <n v="34"/>
    <n v="3"/>
    <n v="2"/>
    <x v="4"/>
    <n v="2"/>
    <s v="Single"/>
    <n v="5562"/>
    <n v="9697"/>
    <n v="6"/>
    <s v="Y"/>
    <x v="1"/>
    <n v="14"/>
    <n v="3"/>
    <n v="4"/>
    <n v="80"/>
    <n v="0"/>
    <n v="19"/>
    <n v="3"/>
    <n v="3"/>
    <n v="10"/>
    <n v="7"/>
    <n v="0"/>
    <n v="9"/>
    <x v="1"/>
    <x v="0"/>
    <x v="0"/>
  </r>
  <r>
    <n v="35"/>
    <x v="1"/>
    <s v="Travel_Rarely"/>
    <n v="1370"/>
    <x v="1"/>
    <n v="27"/>
    <n v="4"/>
    <s v="Life Sciences"/>
    <n v="1"/>
    <n v="1728"/>
    <n v="4"/>
    <s v="Male"/>
    <n v="49"/>
    <n v="3"/>
    <n v="2"/>
    <x v="3"/>
    <n v="3"/>
    <s v="Married"/>
    <n v="6883"/>
    <n v="5151"/>
    <n v="2"/>
    <s v="Y"/>
    <x v="1"/>
    <n v="16"/>
    <n v="3"/>
    <n v="2"/>
    <n v="80"/>
    <n v="1"/>
    <n v="17"/>
    <n v="3"/>
    <n v="3"/>
    <n v="7"/>
    <n v="7"/>
    <n v="0"/>
    <n v="7"/>
    <x v="1"/>
    <x v="1"/>
    <x v="0"/>
  </r>
  <r>
    <n v="30"/>
    <x v="1"/>
    <s v="Travel_Rarely"/>
    <n v="793"/>
    <x v="1"/>
    <n v="16"/>
    <n v="1"/>
    <s v="Life Sciences"/>
    <n v="1"/>
    <n v="1729"/>
    <n v="2"/>
    <s v="Male"/>
    <n v="33"/>
    <n v="3"/>
    <n v="1"/>
    <x v="1"/>
    <n v="4"/>
    <s v="Married"/>
    <n v="2862"/>
    <n v="3811"/>
    <n v="1"/>
    <s v="Y"/>
    <x v="1"/>
    <n v="12"/>
    <n v="3"/>
    <n v="2"/>
    <n v="80"/>
    <n v="1"/>
    <n v="10"/>
    <n v="2"/>
    <n v="2"/>
    <n v="10"/>
    <n v="0"/>
    <n v="0"/>
    <n v="8"/>
    <x v="1"/>
    <x v="1"/>
    <x v="1"/>
  </r>
  <r>
    <n v="47"/>
    <x v="1"/>
    <s v="Non-Travel"/>
    <n v="543"/>
    <x v="0"/>
    <n v="2"/>
    <n v="4"/>
    <s v="Marketing"/>
    <n v="1"/>
    <n v="1731"/>
    <n v="3"/>
    <s v="Male"/>
    <n v="87"/>
    <n v="3"/>
    <n v="2"/>
    <x v="0"/>
    <n v="2"/>
    <s v="Married"/>
    <n v="4978"/>
    <n v="3536"/>
    <n v="7"/>
    <s v="Y"/>
    <x v="1"/>
    <n v="11"/>
    <n v="3"/>
    <n v="4"/>
    <n v="80"/>
    <n v="1"/>
    <n v="4"/>
    <n v="3"/>
    <n v="1"/>
    <n v="1"/>
    <n v="0"/>
    <n v="0"/>
    <n v="0"/>
    <x v="1"/>
    <x v="0"/>
    <x v="0"/>
  </r>
  <r>
    <n v="46"/>
    <x v="1"/>
    <s v="Travel_Rarely"/>
    <n v="1277"/>
    <x v="0"/>
    <n v="2"/>
    <n v="3"/>
    <s v="Life Sciences"/>
    <n v="1"/>
    <n v="1732"/>
    <n v="3"/>
    <s v="Male"/>
    <n v="74"/>
    <n v="3"/>
    <n v="3"/>
    <x v="0"/>
    <n v="4"/>
    <s v="Divorced"/>
    <n v="10368"/>
    <n v="5596"/>
    <n v="4"/>
    <s v="Y"/>
    <x v="0"/>
    <n v="12"/>
    <n v="3"/>
    <n v="2"/>
    <n v="80"/>
    <n v="1"/>
    <n v="13"/>
    <n v="5"/>
    <n v="2"/>
    <n v="10"/>
    <n v="6"/>
    <n v="0"/>
    <n v="3"/>
    <x v="1"/>
    <x v="0"/>
    <x v="2"/>
  </r>
  <r>
    <n v="36"/>
    <x v="0"/>
    <s v="Travel_Rarely"/>
    <n v="1456"/>
    <x v="0"/>
    <n v="13"/>
    <n v="5"/>
    <s v="Marketing"/>
    <n v="1"/>
    <n v="1733"/>
    <n v="2"/>
    <s v="Male"/>
    <n v="96"/>
    <n v="2"/>
    <n v="2"/>
    <x v="0"/>
    <n v="1"/>
    <s v="Divorced"/>
    <n v="6134"/>
    <n v="8658"/>
    <n v="5"/>
    <s v="Y"/>
    <x v="0"/>
    <n v="13"/>
    <n v="3"/>
    <n v="2"/>
    <n v="80"/>
    <n v="3"/>
    <n v="16"/>
    <n v="3"/>
    <n v="3"/>
    <n v="2"/>
    <n v="2"/>
    <n v="2"/>
    <n v="2"/>
    <x v="0"/>
    <x v="1"/>
    <x v="0"/>
  </r>
  <r>
    <n v="32"/>
    <x v="0"/>
    <s v="Travel_Rarely"/>
    <n v="964"/>
    <x v="0"/>
    <n v="1"/>
    <n v="2"/>
    <s v="Life Sciences"/>
    <n v="1"/>
    <n v="1734"/>
    <n v="1"/>
    <s v="Male"/>
    <n v="34"/>
    <n v="1"/>
    <n v="2"/>
    <x v="0"/>
    <n v="2"/>
    <s v="Single"/>
    <n v="6735"/>
    <n v="12147"/>
    <n v="6"/>
    <s v="Y"/>
    <x v="1"/>
    <n v="15"/>
    <n v="3"/>
    <n v="2"/>
    <n v="80"/>
    <n v="0"/>
    <n v="10"/>
    <n v="2"/>
    <n v="3"/>
    <n v="0"/>
    <n v="0"/>
    <n v="0"/>
    <n v="0"/>
    <x v="0"/>
    <x v="1"/>
    <x v="0"/>
  </r>
  <r>
    <n v="23"/>
    <x v="1"/>
    <s v="Travel_Rarely"/>
    <n v="160"/>
    <x v="1"/>
    <n v="4"/>
    <n v="1"/>
    <s v="Medical"/>
    <n v="1"/>
    <n v="1735"/>
    <n v="3"/>
    <s v="Female"/>
    <n v="51"/>
    <n v="3"/>
    <n v="1"/>
    <x v="2"/>
    <n v="2"/>
    <s v="Single"/>
    <n v="3295"/>
    <n v="12862"/>
    <n v="1"/>
    <s v="Y"/>
    <x v="1"/>
    <n v="13"/>
    <n v="3"/>
    <n v="3"/>
    <n v="80"/>
    <n v="0"/>
    <n v="3"/>
    <n v="3"/>
    <n v="1"/>
    <n v="3"/>
    <n v="2"/>
    <n v="1"/>
    <n v="2"/>
    <x v="1"/>
    <x v="2"/>
    <x v="0"/>
  </r>
  <r>
    <n v="31"/>
    <x v="1"/>
    <s v="Travel_Frequently"/>
    <n v="163"/>
    <x v="1"/>
    <n v="24"/>
    <n v="1"/>
    <s v="Technical Degree"/>
    <n v="1"/>
    <n v="1736"/>
    <n v="4"/>
    <s v="Female"/>
    <n v="30"/>
    <n v="3"/>
    <n v="2"/>
    <x v="3"/>
    <n v="4"/>
    <s v="Single"/>
    <n v="5238"/>
    <n v="6670"/>
    <n v="2"/>
    <s v="Y"/>
    <x v="1"/>
    <n v="20"/>
    <n v="4"/>
    <n v="4"/>
    <n v="80"/>
    <n v="0"/>
    <n v="9"/>
    <n v="3"/>
    <n v="2"/>
    <n v="5"/>
    <n v="4"/>
    <n v="1"/>
    <n v="4"/>
    <x v="1"/>
    <x v="1"/>
    <x v="0"/>
  </r>
  <r>
    <n v="39"/>
    <x v="1"/>
    <s v="Non-Travel"/>
    <n v="792"/>
    <x v="1"/>
    <n v="1"/>
    <n v="3"/>
    <s v="Life Sciences"/>
    <n v="1"/>
    <n v="1737"/>
    <n v="4"/>
    <s v="Male"/>
    <n v="77"/>
    <n v="3"/>
    <n v="2"/>
    <x v="2"/>
    <n v="4"/>
    <s v="Married"/>
    <n v="6472"/>
    <n v="8989"/>
    <n v="1"/>
    <s v="Y"/>
    <x v="0"/>
    <n v="15"/>
    <n v="3"/>
    <n v="4"/>
    <n v="80"/>
    <n v="1"/>
    <n v="9"/>
    <n v="2"/>
    <n v="3"/>
    <n v="9"/>
    <n v="8"/>
    <n v="5"/>
    <n v="8"/>
    <x v="1"/>
    <x v="1"/>
    <x v="0"/>
  </r>
  <r>
    <n v="32"/>
    <x v="1"/>
    <s v="Travel_Rarely"/>
    <n v="371"/>
    <x v="0"/>
    <n v="19"/>
    <n v="3"/>
    <s v="Life Sciences"/>
    <n v="1"/>
    <n v="1739"/>
    <n v="4"/>
    <s v="Male"/>
    <n v="80"/>
    <n v="1"/>
    <n v="3"/>
    <x v="0"/>
    <n v="3"/>
    <s v="Married"/>
    <n v="9610"/>
    <n v="3840"/>
    <n v="3"/>
    <s v="Y"/>
    <x v="1"/>
    <n v="13"/>
    <n v="3"/>
    <n v="3"/>
    <n v="80"/>
    <n v="1"/>
    <n v="10"/>
    <n v="2"/>
    <n v="1"/>
    <n v="4"/>
    <n v="3"/>
    <n v="0"/>
    <n v="2"/>
    <x v="1"/>
    <x v="1"/>
    <x v="2"/>
  </r>
  <r>
    <n v="40"/>
    <x v="1"/>
    <s v="Travel_Rarely"/>
    <n v="611"/>
    <x v="0"/>
    <n v="7"/>
    <n v="4"/>
    <s v="Medical"/>
    <n v="1"/>
    <n v="1740"/>
    <n v="2"/>
    <s v="Male"/>
    <n v="88"/>
    <n v="3"/>
    <n v="5"/>
    <x v="5"/>
    <n v="2"/>
    <s v="Single"/>
    <n v="19833"/>
    <n v="4349"/>
    <n v="1"/>
    <s v="Y"/>
    <x v="1"/>
    <n v="14"/>
    <n v="3"/>
    <n v="2"/>
    <n v="80"/>
    <n v="0"/>
    <n v="21"/>
    <n v="3"/>
    <n v="2"/>
    <n v="21"/>
    <n v="8"/>
    <n v="12"/>
    <n v="8"/>
    <x v="1"/>
    <x v="0"/>
    <x v="2"/>
  </r>
  <r>
    <n v="45"/>
    <x v="1"/>
    <s v="Travel_Rarely"/>
    <n v="176"/>
    <x v="2"/>
    <n v="4"/>
    <n v="3"/>
    <s v="Life Sciences"/>
    <n v="1"/>
    <n v="1744"/>
    <n v="3"/>
    <s v="Female"/>
    <n v="56"/>
    <n v="1"/>
    <n v="3"/>
    <x v="8"/>
    <n v="3"/>
    <s v="Married"/>
    <n v="9756"/>
    <n v="6595"/>
    <n v="4"/>
    <s v="Y"/>
    <x v="1"/>
    <n v="21"/>
    <n v="4"/>
    <n v="3"/>
    <n v="80"/>
    <n v="2"/>
    <n v="9"/>
    <n v="2"/>
    <n v="4"/>
    <n v="5"/>
    <n v="0"/>
    <n v="0"/>
    <n v="3"/>
    <x v="1"/>
    <x v="0"/>
    <x v="2"/>
  </r>
  <r>
    <n v="30"/>
    <x v="1"/>
    <s v="Travel_Frequently"/>
    <n v="1312"/>
    <x v="1"/>
    <n v="2"/>
    <n v="4"/>
    <s v="Technical Degree"/>
    <n v="1"/>
    <n v="1745"/>
    <n v="4"/>
    <s v="Female"/>
    <n v="78"/>
    <n v="2"/>
    <n v="1"/>
    <x v="1"/>
    <n v="1"/>
    <s v="Single"/>
    <n v="4968"/>
    <n v="26427"/>
    <n v="0"/>
    <s v="Y"/>
    <x v="1"/>
    <n v="16"/>
    <n v="3"/>
    <n v="4"/>
    <n v="80"/>
    <n v="0"/>
    <n v="10"/>
    <n v="2"/>
    <n v="3"/>
    <n v="9"/>
    <n v="7"/>
    <n v="0"/>
    <n v="7"/>
    <x v="1"/>
    <x v="1"/>
    <x v="0"/>
  </r>
  <r>
    <n v="24"/>
    <x v="1"/>
    <s v="Travel_Frequently"/>
    <n v="897"/>
    <x v="2"/>
    <n v="10"/>
    <n v="3"/>
    <s v="Medical"/>
    <n v="1"/>
    <n v="1746"/>
    <n v="1"/>
    <s v="Male"/>
    <n v="59"/>
    <n v="3"/>
    <n v="1"/>
    <x v="8"/>
    <n v="4"/>
    <s v="Married"/>
    <n v="2145"/>
    <n v="2097"/>
    <n v="0"/>
    <s v="Y"/>
    <x v="1"/>
    <n v="14"/>
    <n v="3"/>
    <n v="4"/>
    <n v="80"/>
    <n v="1"/>
    <n v="3"/>
    <n v="2"/>
    <n v="3"/>
    <n v="2"/>
    <n v="2"/>
    <n v="2"/>
    <n v="1"/>
    <x v="1"/>
    <x v="2"/>
    <x v="1"/>
  </r>
  <r>
    <n v="30"/>
    <x v="0"/>
    <s v="Travel_Frequently"/>
    <n v="600"/>
    <x v="2"/>
    <n v="8"/>
    <n v="3"/>
    <s v="Human Resources"/>
    <n v="1"/>
    <n v="1747"/>
    <n v="3"/>
    <s v="Female"/>
    <n v="66"/>
    <n v="2"/>
    <n v="1"/>
    <x v="8"/>
    <n v="4"/>
    <s v="Divorced"/>
    <n v="2180"/>
    <n v="9732"/>
    <n v="6"/>
    <s v="Y"/>
    <x v="1"/>
    <n v="11"/>
    <n v="3"/>
    <n v="3"/>
    <n v="80"/>
    <n v="1"/>
    <n v="6"/>
    <n v="0"/>
    <n v="2"/>
    <n v="4"/>
    <n v="2"/>
    <n v="1"/>
    <n v="2"/>
    <x v="0"/>
    <x v="1"/>
    <x v="1"/>
  </r>
  <r>
    <n v="31"/>
    <x v="1"/>
    <s v="Travel_Rarely"/>
    <n v="1003"/>
    <x v="0"/>
    <n v="5"/>
    <n v="3"/>
    <s v="Technical Degree"/>
    <n v="1"/>
    <n v="1749"/>
    <n v="1"/>
    <s v="Male"/>
    <n v="51"/>
    <n v="3"/>
    <n v="2"/>
    <x v="0"/>
    <n v="3"/>
    <s v="Married"/>
    <n v="8346"/>
    <n v="20943"/>
    <n v="1"/>
    <s v="Y"/>
    <x v="1"/>
    <n v="19"/>
    <n v="3"/>
    <n v="3"/>
    <n v="80"/>
    <n v="1"/>
    <n v="6"/>
    <n v="3"/>
    <n v="3"/>
    <n v="5"/>
    <n v="2"/>
    <n v="0"/>
    <n v="2"/>
    <x v="1"/>
    <x v="1"/>
    <x v="2"/>
  </r>
  <r>
    <n v="27"/>
    <x v="1"/>
    <s v="Travel_Rarely"/>
    <n v="1054"/>
    <x v="1"/>
    <n v="8"/>
    <n v="3"/>
    <s v="Medical"/>
    <n v="1"/>
    <n v="1751"/>
    <n v="3"/>
    <s v="Female"/>
    <n v="67"/>
    <n v="3"/>
    <n v="1"/>
    <x v="1"/>
    <n v="4"/>
    <s v="Single"/>
    <n v="3445"/>
    <n v="6152"/>
    <n v="1"/>
    <s v="Y"/>
    <x v="1"/>
    <n v="11"/>
    <n v="3"/>
    <n v="3"/>
    <n v="80"/>
    <n v="0"/>
    <n v="6"/>
    <n v="5"/>
    <n v="2"/>
    <n v="6"/>
    <n v="2"/>
    <n v="1"/>
    <n v="4"/>
    <x v="1"/>
    <x v="2"/>
    <x v="0"/>
  </r>
  <r>
    <n v="29"/>
    <x v="0"/>
    <s v="Travel_Rarely"/>
    <n v="428"/>
    <x v="0"/>
    <n v="9"/>
    <n v="3"/>
    <s v="Marketing"/>
    <n v="1"/>
    <n v="1752"/>
    <n v="2"/>
    <s v="Female"/>
    <n v="52"/>
    <n v="1"/>
    <n v="1"/>
    <x v="6"/>
    <n v="2"/>
    <s v="Single"/>
    <n v="2760"/>
    <n v="14630"/>
    <n v="1"/>
    <s v="Y"/>
    <x v="1"/>
    <n v="13"/>
    <n v="3"/>
    <n v="3"/>
    <n v="80"/>
    <n v="0"/>
    <n v="2"/>
    <n v="3"/>
    <n v="3"/>
    <n v="2"/>
    <n v="2"/>
    <n v="2"/>
    <n v="2"/>
    <x v="0"/>
    <x v="2"/>
    <x v="1"/>
  </r>
  <r>
    <n v="29"/>
    <x v="1"/>
    <s v="Travel_Frequently"/>
    <n v="461"/>
    <x v="1"/>
    <n v="1"/>
    <n v="3"/>
    <s v="Life Sciences"/>
    <n v="1"/>
    <n v="1753"/>
    <n v="4"/>
    <s v="Male"/>
    <n v="70"/>
    <n v="4"/>
    <n v="2"/>
    <x v="4"/>
    <n v="3"/>
    <s v="Single"/>
    <n v="6294"/>
    <n v="23060"/>
    <n v="8"/>
    <s v="Y"/>
    <x v="0"/>
    <n v="12"/>
    <n v="3"/>
    <n v="4"/>
    <n v="80"/>
    <n v="0"/>
    <n v="10"/>
    <n v="5"/>
    <n v="4"/>
    <n v="3"/>
    <n v="2"/>
    <n v="0"/>
    <n v="2"/>
    <x v="1"/>
    <x v="2"/>
    <x v="0"/>
  </r>
  <r>
    <n v="30"/>
    <x v="1"/>
    <s v="Travel_Rarely"/>
    <n v="979"/>
    <x v="0"/>
    <n v="15"/>
    <n v="2"/>
    <s v="Marketing"/>
    <n v="1"/>
    <n v="1754"/>
    <n v="3"/>
    <s v="Male"/>
    <n v="94"/>
    <n v="2"/>
    <n v="3"/>
    <x v="0"/>
    <n v="1"/>
    <s v="Divorced"/>
    <n v="7140"/>
    <n v="3088"/>
    <n v="2"/>
    <s v="Y"/>
    <x v="1"/>
    <n v="11"/>
    <n v="3"/>
    <n v="1"/>
    <n v="80"/>
    <n v="1"/>
    <n v="12"/>
    <n v="2"/>
    <n v="3"/>
    <n v="7"/>
    <n v="7"/>
    <n v="1"/>
    <n v="7"/>
    <x v="1"/>
    <x v="1"/>
    <x v="2"/>
  </r>
  <r>
    <n v="34"/>
    <x v="1"/>
    <s v="Travel_Rarely"/>
    <n v="181"/>
    <x v="1"/>
    <n v="2"/>
    <n v="4"/>
    <s v="Medical"/>
    <n v="1"/>
    <n v="1755"/>
    <n v="4"/>
    <s v="Male"/>
    <n v="97"/>
    <n v="4"/>
    <n v="1"/>
    <x v="1"/>
    <n v="4"/>
    <s v="Married"/>
    <n v="2932"/>
    <n v="5586"/>
    <n v="0"/>
    <s v="Y"/>
    <x v="0"/>
    <n v="14"/>
    <n v="3"/>
    <n v="1"/>
    <n v="80"/>
    <n v="3"/>
    <n v="6"/>
    <n v="3"/>
    <n v="3"/>
    <n v="5"/>
    <n v="0"/>
    <n v="1"/>
    <n v="2"/>
    <x v="1"/>
    <x v="1"/>
    <x v="1"/>
  </r>
  <r>
    <n v="33"/>
    <x v="1"/>
    <s v="Non-Travel"/>
    <n v="1283"/>
    <x v="0"/>
    <n v="2"/>
    <n v="3"/>
    <s v="Marketing"/>
    <n v="1"/>
    <n v="1756"/>
    <n v="4"/>
    <s v="Female"/>
    <n v="62"/>
    <n v="3"/>
    <n v="2"/>
    <x v="0"/>
    <n v="2"/>
    <s v="Single"/>
    <n v="5147"/>
    <n v="10697"/>
    <n v="8"/>
    <s v="Y"/>
    <x v="1"/>
    <n v="15"/>
    <n v="3"/>
    <n v="4"/>
    <n v="80"/>
    <n v="0"/>
    <n v="13"/>
    <n v="2"/>
    <n v="2"/>
    <n v="11"/>
    <n v="7"/>
    <n v="1"/>
    <n v="7"/>
    <x v="1"/>
    <x v="1"/>
    <x v="0"/>
  </r>
  <r>
    <n v="49"/>
    <x v="1"/>
    <s v="Travel_Rarely"/>
    <n v="1313"/>
    <x v="0"/>
    <n v="11"/>
    <n v="4"/>
    <s v="Marketing"/>
    <n v="1"/>
    <n v="1757"/>
    <n v="4"/>
    <s v="Female"/>
    <n v="80"/>
    <n v="3"/>
    <n v="2"/>
    <x v="0"/>
    <n v="4"/>
    <s v="Single"/>
    <n v="4507"/>
    <n v="8191"/>
    <n v="3"/>
    <s v="Y"/>
    <x v="1"/>
    <n v="12"/>
    <n v="3"/>
    <n v="3"/>
    <n v="80"/>
    <n v="0"/>
    <n v="8"/>
    <n v="1"/>
    <n v="4"/>
    <n v="5"/>
    <n v="1"/>
    <n v="0"/>
    <n v="4"/>
    <x v="1"/>
    <x v="0"/>
    <x v="0"/>
  </r>
  <r>
    <n v="33"/>
    <x v="0"/>
    <s v="Travel_Rarely"/>
    <n v="211"/>
    <x v="0"/>
    <n v="16"/>
    <n v="3"/>
    <s v="Life Sciences"/>
    <n v="1"/>
    <n v="1758"/>
    <n v="1"/>
    <s v="Female"/>
    <n v="74"/>
    <n v="3"/>
    <n v="3"/>
    <x v="0"/>
    <n v="1"/>
    <s v="Single"/>
    <n v="8564"/>
    <n v="10092"/>
    <n v="2"/>
    <s v="Y"/>
    <x v="0"/>
    <n v="20"/>
    <n v="4"/>
    <n v="3"/>
    <n v="80"/>
    <n v="0"/>
    <n v="11"/>
    <n v="2"/>
    <n v="2"/>
    <n v="0"/>
    <n v="0"/>
    <n v="0"/>
    <n v="0"/>
    <x v="0"/>
    <x v="1"/>
    <x v="2"/>
  </r>
  <r>
    <n v="38"/>
    <x v="1"/>
    <s v="Travel_Frequently"/>
    <n v="594"/>
    <x v="1"/>
    <n v="2"/>
    <n v="2"/>
    <s v="Medical"/>
    <n v="1"/>
    <n v="1760"/>
    <n v="3"/>
    <s v="Female"/>
    <n v="75"/>
    <n v="2"/>
    <n v="1"/>
    <x v="2"/>
    <n v="2"/>
    <s v="Married"/>
    <n v="2468"/>
    <n v="15963"/>
    <n v="4"/>
    <s v="Y"/>
    <x v="1"/>
    <n v="14"/>
    <n v="3"/>
    <n v="2"/>
    <n v="80"/>
    <n v="1"/>
    <n v="9"/>
    <n v="4"/>
    <n v="2"/>
    <n v="6"/>
    <n v="1"/>
    <n v="0"/>
    <n v="5"/>
    <x v="1"/>
    <x v="1"/>
    <x v="1"/>
  </r>
  <r>
    <n v="31"/>
    <x v="0"/>
    <s v="Travel_Rarely"/>
    <n v="1079"/>
    <x v="0"/>
    <n v="16"/>
    <n v="4"/>
    <s v="Marketing"/>
    <n v="1"/>
    <n v="1761"/>
    <n v="1"/>
    <s v="Male"/>
    <n v="70"/>
    <n v="3"/>
    <n v="3"/>
    <x v="0"/>
    <n v="3"/>
    <s v="Married"/>
    <n v="8161"/>
    <n v="19002"/>
    <n v="2"/>
    <s v="Y"/>
    <x v="1"/>
    <n v="13"/>
    <n v="3"/>
    <n v="1"/>
    <n v="80"/>
    <n v="3"/>
    <n v="10"/>
    <n v="2"/>
    <n v="3"/>
    <n v="1"/>
    <n v="0"/>
    <n v="0"/>
    <n v="0"/>
    <x v="0"/>
    <x v="1"/>
    <x v="2"/>
  </r>
  <r>
    <n v="29"/>
    <x v="1"/>
    <s v="Travel_Rarely"/>
    <n v="590"/>
    <x v="1"/>
    <n v="4"/>
    <n v="3"/>
    <s v="Technical Degree"/>
    <n v="1"/>
    <n v="1762"/>
    <n v="4"/>
    <s v="Female"/>
    <n v="91"/>
    <n v="2"/>
    <n v="1"/>
    <x v="1"/>
    <n v="1"/>
    <s v="Divorced"/>
    <n v="2109"/>
    <n v="10007"/>
    <n v="1"/>
    <s v="Y"/>
    <x v="1"/>
    <n v="13"/>
    <n v="3"/>
    <n v="3"/>
    <n v="80"/>
    <n v="1"/>
    <n v="1"/>
    <n v="2"/>
    <n v="3"/>
    <n v="1"/>
    <n v="0"/>
    <n v="0"/>
    <n v="0"/>
    <x v="1"/>
    <x v="2"/>
    <x v="1"/>
  </r>
  <r>
    <n v="30"/>
    <x v="1"/>
    <s v="Travel_Rarely"/>
    <n v="305"/>
    <x v="1"/>
    <n v="16"/>
    <n v="3"/>
    <s v="Life Sciences"/>
    <n v="1"/>
    <n v="1763"/>
    <n v="3"/>
    <s v="Male"/>
    <n v="58"/>
    <n v="4"/>
    <n v="2"/>
    <x v="4"/>
    <n v="3"/>
    <s v="Married"/>
    <n v="5294"/>
    <n v="9128"/>
    <n v="3"/>
    <s v="Y"/>
    <x v="1"/>
    <n v="16"/>
    <n v="3"/>
    <n v="3"/>
    <n v="80"/>
    <n v="1"/>
    <n v="10"/>
    <n v="3"/>
    <n v="3"/>
    <n v="7"/>
    <n v="0"/>
    <n v="1"/>
    <n v="7"/>
    <x v="1"/>
    <x v="1"/>
    <x v="0"/>
  </r>
  <r>
    <n v="32"/>
    <x v="1"/>
    <s v="Non-Travel"/>
    <n v="953"/>
    <x v="1"/>
    <n v="5"/>
    <n v="4"/>
    <s v="Technical Degree"/>
    <n v="1"/>
    <n v="1764"/>
    <n v="2"/>
    <s v="Male"/>
    <n v="65"/>
    <n v="3"/>
    <n v="1"/>
    <x v="1"/>
    <n v="2"/>
    <s v="Single"/>
    <n v="2718"/>
    <n v="17674"/>
    <n v="2"/>
    <s v="Y"/>
    <x v="1"/>
    <n v="14"/>
    <n v="3"/>
    <n v="2"/>
    <n v="80"/>
    <n v="0"/>
    <n v="12"/>
    <n v="3"/>
    <n v="3"/>
    <n v="7"/>
    <n v="7"/>
    <n v="0"/>
    <n v="7"/>
    <x v="1"/>
    <x v="1"/>
    <x v="1"/>
  </r>
  <r>
    <n v="38"/>
    <x v="1"/>
    <s v="Travel_Rarely"/>
    <n v="833"/>
    <x v="1"/>
    <n v="18"/>
    <n v="3"/>
    <s v="Medical"/>
    <n v="1"/>
    <n v="1766"/>
    <n v="2"/>
    <s v="Male"/>
    <n v="60"/>
    <n v="1"/>
    <n v="2"/>
    <x v="4"/>
    <n v="4"/>
    <s v="Married"/>
    <n v="5811"/>
    <n v="24539"/>
    <n v="3"/>
    <s v="Y"/>
    <x v="0"/>
    <n v="16"/>
    <n v="3"/>
    <n v="3"/>
    <n v="80"/>
    <n v="1"/>
    <n v="15"/>
    <n v="2"/>
    <n v="3"/>
    <n v="1"/>
    <n v="0"/>
    <n v="1"/>
    <n v="0"/>
    <x v="1"/>
    <x v="1"/>
    <x v="0"/>
  </r>
  <r>
    <n v="43"/>
    <x v="0"/>
    <s v="Travel_Frequently"/>
    <n v="807"/>
    <x v="1"/>
    <n v="17"/>
    <n v="3"/>
    <s v="Technical Degree"/>
    <n v="1"/>
    <n v="1767"/>
    <n v="3"/>
    <s v="Male"/>
    <n v="38"/>
    <n v="2"/>
    <n v="1"/>
    <x v="1"/>
    <n v="3"/>
    <s v="Married"/>
    <n v="2437"/>
    <n v="15587"/>
    <n v="9"/>
    <s v="Y"/>
    <x v="0"/>
    <n v="16"/>
    <n v="3"/>
    <n v="4"/>
    <n v="80"/>
    <n v="1"/>
    <n v="6"/>
    <n v="4"/>
    <n v="3"/>
    <n v="1"/>
    <n v="0"/>
    <n v="0"/>
    <n v="0"/>
    <x v="0"/>
    <x v="0"/>
    <x v="1"/>
  </r>
  <r>
    <n v="42"/>
    <x v="1"/>
    <s v="Travel_Rarely"/>
    <n v="855"/>
    <x v="1"/>
    <n v="12"/>
    <n v="3"/>
    <s v="Medical"/>
    <n v="1"/>
    <n v="1768"/>
    <n v="2"/>
    <s v="Male"/>
    <n v="57"/>
    <n v="3"/>
    <n v="1"/>
    <x v="2"/>
    <n v="2"/>
    <s v="Divorced"/>
    <n v="2766"/>
    <n v="8952"/>
    <n v="8"/>
    <s v="Y"/>
    <x v="1"/>
    <n v="22"/>
    <n v="4"/>
    <n v="2"/>
    <n v="80"/>
    <n v="3"/>
    <n v="7"/>
    <n v="6"/>
    <n v="2"/>
    <n v="5"/>
    <n v="3"/>
    <n v="0"/>
    <n v="4"/>
    <x v="1"/>
    <x v="0"/>
    <x v="1"/>
  </r>
  <r>
    <n v="55"/>
    <x v="1"/>
    <s v="Travel_Rarely"/>
    <n v="478"/>
    <x v="1"/>
    <n v="2"/>
    <n v="3"/>
    <s v="Medical"/>
    <n v="1"/>
    <n v="1770"/>
    <n v="3"/>
    <s v="Male"/>
    <n v="60"/>
    <n v="2"/>
    <n v="5"/>
    <x v="7"/>
    <n v="1"/>
    <s v="Married"/>
    <n v="19038"/>
    <n v="19805"/>
    <n v="8"/>
    <s v="Y"/>
    <x v="1"/>
    <n v="12"/>
    <n v="3"/>
    <n v="2"/>
    <n v="80"/>
    <n v="3"/>
    <n v="34"/>
    <n v="2"/>
    <n v="3"/>
    <n v="1"/>
    <n v="0"/>
    <n v="0"/>
    <n v="0"/>
    <x v="1"/>
    <x v="3"/>
    <x v="2"/>
  </r>
  <r>
    <n v="33"/>
    <x v="1"/>
    <s v="Non-Travel"/>
    <n v="775"/>
    <x v="1"/>
    <n v="4"/>
    <n v="3"/>
    <s v="Technical Degree"/>
    <n v="1"/>
    <n v="1771"/>
    <n v="4"/>
    <s v="Male"/>
    <n v="90"/>
    <n v="3"/>
    <n v="2"/>
    <x v="1"/>
    <n v="2"/>
    <s v="Divorced"/>
    <n v="3055"/>
    <n v="6194"/>
    <n v="5"/>
    <s v="Y"/>
    <x v="1"/>
    <n v="15"/>
    <n v="3"/>
    <n v="4"/>
    <n v="80"/>
    <n v="2"/>
    <n v="11"/>
    <n v="2"/>
    <n v="2"/>
    <n v="9"/>
    <n v="8"/>
    <n v="1"/>
    <n v="7"/>
    <x v="1"/>
    <x v="1"/>
    <x v="0"/>
  </r>
  <r>
    <n v="41"/>
    <x v="1"/>
    <s v="Travel_Rarely"/>
    <n v="548"/>
    <x v="1"/>
    <n v="9"/>
    <n v="4"/>
    <s v="Life Sciences"/>
    <n v="1"/>
    <n v="1772"/>
    <n v="3"/>
    <s v="Male"/>
    <n v="94"/>
    <n v="3"/>
    <n v="1"/>
    <x v="2"/>
    <n v="1"/>
    <s v="Divorced"/>
    <n v="2289"/>
    <n v="20520"/>
    <n v="1"/>
    <s v="Y"/>
    <x v="1"/>
    <n v="20"/>
    <n v="4"/>
    <n v="2"/>
    <n v="80"/>
    <n v="2"/>
    <n v="5"/>
    <n v="2"/>
    <n v="3"/>
    <n v="5"/>
    <n v="3"/>
    <n v="0"/>
    <n v="4"/>
    <x v="1"/>
    <x v="0"/>
    <x v="1"/>
  </r>
  <r>
    <n v="34"/>
    <x v="1"/>
    <s v="Non-Travel"/>
    <n v="1375"/>
    <x v="0"/>
    <n v="10"/>
    <n v="3"/>
    <s v="Life Sciences"/>
    <n v="1"/>
    <n v="1774"/>
    <n v="4"/>
    <s v="Male"/>
    <n v="87"/>
    <n v="3"/>
    <n v="2"/>
    <x v="0"/>
    <n v="3"/>
    <s v="Divorced"/>
    <n v="4001"/>
    <n v="12313"/>
    <n v="1"/>
    <s v="Y"/>
    <x v="0"/>
    <n v="14"/>
    <n v="3"/>
    <n v="3"/>
    <n v="80"/>
    <n v="1"/>
    <n v="15"/>
    <n v="3"/>
    <n v="3"/>
    <n v="15"/>
    <n v="14"/>
    <n v="0"/>
    <n v="7"/>
    <x v="1"/>
    <x v="1"/>
    <x v="0"/>
  </r>
  <r>
    <n v="53"/>
    <x v="1"/>
    <s v="Non-Travel"/>
    <n v="661"/>
    <x v="1"/>
    <n v="1"/>
    <n v="4"/>
    <s v="Medical"/>
    <n v="1"/>
    <n v="1775"/>
    <n v="1"/>
    <s v="Female"/>
    <n v="60"/>
    <n v="2"/>
    <n v="4"/>
    <x v="3"/>
    <n v="3"/>
    <s v="Married"/>
    <n v="12965"/>
    <n v="22308"/>
    <n v="4"/>
    <s v="Y"/>
    <x v="0"/>
    <n v="20"/>
    <n v="4"/>
    <n v="4"/>
    <n v="80"/>
    <n v="3"/>
    <n v="27"/>
    <n v="2"/>
    <n v="2"/>
    <n v="3"/>
    <n v="2"/>
    <n v="0"/>
    <n v="2"/>
    <x v="1"/>
    <x v="3"/>
    <x v="2"/>
  </r>
  <r>
    <n v="43"/>
    <x v="1"/>
    <s v="Travel_Rarely"/>
    <n v="244"/>
    <x v="2"/>
    <n v="2"/>
    <n v="3"/>
    <s v="Life Sciences"/>
    <n v="1"/>
    <n v="1778"/>
    <n v="2"/>
    <s v="Male"/>
    <n v="97"/>
    <n v="3"/>
    <n v="1"/>
    <x v="8"/>
    <n v="4"/>
    <s v="Single"/>
    <n v="3539"/>
    <n v="5033"/>
    <n v="0"/>
    <s v="Y"/>
    <x v="1"/>
    <n v="13"/>
    <n v="3"/>
    <n v="2"/>
    <n v="80"/>
    <n v="0"/>
    <n v="10"/>
    <n v="5"/>
    <n v="3"/>
    <n v="9"/>
    <n v="7"/>
    <n v="1"/>
    <n v="8"/>
    <x v="1"/>
    <x v="0"/>
    <x v="0"/>
  </r>
  <r>
    <n v="34"/>
    <x v="1"/>
    <s v="Travel_Rarely"/>
    <n v="511"/>
    <x v="0"/>
    <n v="3"/>
    <n v="2"/>
    <s v="Life Sciences"/>
    <n v="1"/>
    <n v="1779"/>
    <n v="4"/>
    <s v="Female"/>
    <n v="32"/>
    <n v="1"/>
    <n v="2"/>
    <x v="0"/>
    <n v="4"/>
    <s v="Single"/>
    <n v="6029"/>
    <n v="25353"/>
    <n v="5"/>
    <s v="Y"/>
    <x v="1"/>
    <n v="12"/>
    <n v="3"/>
    <n v="1"/>
    <n v="80"/>
    <n v="0"/>
    <n v="6"/>
    <n v="3"/>
    <n v="3"/>
    <n v="2"/>
    <n v="2"/>
    <n v="2"/>
    <n v="2"/>
    <x v="1"/>
    <x v="1"/>
    <x v="0"/>
  </r>
  <r>
    <n v="21"/>
    <x v="0"/>
    <s v="Travel_Rarely"/>
    <n v="337"/>
    <x v="0"/>
    <n v="7"/>
    <n v="1"/>
    <s v="Marketing"/>
    <n v="1"/>
    <n v="1780"/>
    <n v="2"/>
    <s v="Male"/>
    <n v="31"/>
    <n v="3"/>
    <n v="1"/>
    <x v="6"/>
    <n v="2"/>
    <s v="Single"/>
    <n v="2679"/>
    <n v="4567"/>
    <n v="1"/>
    <s v="Y"/>
    <x v="1"/>
    <n v="13"/>
    <n v="3"/>
    <n v="2"/>
    <n v="80"/>
    <n v="0"/>
    <n v="1"/>
    <n v="3"/>
    <n v="3"/>
    <n v="1"/>
    <n v="0"/>
    <n v="1"/>
    <n v="0"/>
    <x v="0"/>
    <x v="2"/>
    <x v="1"/>
  </r>
  <r>
    <n v="38"/>
    <x v="1"/>
    <s v="Travel_Rarely"/>
    <n v="1153"/>
    <x v="1"/>
    <n v="6"/>
    <n v="2"/>
    <s v="Other"/>
    <n v="1"/>
    <n v="1782"/>
    <n v="4"/>
    <s v="Female"/>
    <n v="40"/>
    <n v="2"/>
    <n v="1"/>
    <x v="2"/>
    <n v="3"/>
    <s v="Married"/>
    <n v="3702"/>
    <n v="16376"/>
    <n v="1"/>
    <s v="Y"/>
    <x v="1"/>
    <n v="11"/>
    <n v="3"/>
    <n v="2"/>
    <n v="80"/>
    <n v="1"/>
    <n v="5"/>
    <n v="3"/>
    <n v="3"/>
    <n v="5"/>
    <n v="4"/>
    <n v="0"/>
    <n v="4"/>
    <x v="1"/>
    <x v="1"/>
    <x v="0"/>
  </r>
  <r>
    <n v="22"/>
    <x v="0"/>
    <s v="Travel_Rarely"/>
    <n v="1294"/>
    <x v="1"/>
    <n v="8"/>
    <n v="1"/>
    <s v="Medical"/>
    <n v="1"/>
    <n v="1783"/>
    <n v="3"/>
    <s v="Female"/>
    <n v="79"/>
    <n v="3"/>
    <n v="1"/>
    <x v="2"/>
    <n v="1"/>
    <s v="Married"/>
    <n v="2398"/>
    <n v="15999"/>
    <n v="1"/>
    <s v="Y"/>
    <x v="0"/>
    <n v="17"/>
    <n v="3"/>
    <n v="3"/>
    <n v="80"/>
    <n v="0"/>
    <n v="1"/>
    <n v="6"/>
    <n v="3"/>
    <n v="1"/>
    <n v="0"/>
    <n v="0"/>
    <n v="0"/>
    <x v="0"/>
    <x v="2"/>
    <x v="1"/>
  </r>
  <r>
    <n v="31"/>
    <x v="1"/>
    <s v="Travel_Rarely"/>
    <n v="196"/>
    <x v="0"/>
    <n v="29"/>
    <n v="4"/>
    <s v="Marketing"/>
    <n v="1"/>
    <n v="1784"/>
    <n v="1"/>
    <s v="Female"/>
    <n v="91"/>
    <n v="2"/>
    <n v="2"/>
    <x v="0"/>
    <n v="4"/>
    <s v="Married"/>
    <n v="5468"/>
    <n v="13402"/>
    <n v="1"/>
    <s v="Y"/>
    <x v="1"/>
    <n v="14"/>
    <n v="3"/>
    <n v="1"/>
    <n v="80"/>
    <n v="2"/>
    <n v="13"/>
    <n v="3"/>
    <n v="3"/>
    <n v="12"/>
    <n v="7"/>
    <n v="5"/>
    <n v="7"/>
    <x v="1"/>
    <x v="1"/>
    <x v="0"/>
  </r>
  <r>
    <n v="51"/>
    <x v="1"/>
    <s v="Travel_Rarely"/>
    <n v="942"/>
    <x v="1"/>
    <n v="3"/>
    <n v="3"/>
    <s v="Technical Degree"/>
    <n v="1"/>
    <n v="1786"/>
    <n v="1"/>
    <s v="Female"/>
    <n v="53"/>
    <n v="3"/>
    <n v="3"/>
    <x v="5"/>
    <n v="3"/>
    <s v="Married"/>
    <n v="13116"/>
    <n v="22984"/>
    <n v="2"/>
    <s v="Y"/>
    <x v="1"/>
    <n v="11"/>
    <n v="3"/>
    <n v="4"/>
    <n v="80"/>
    <n v="0"/>
    <n v="15"/>
    <n v="2"/>
    <n v="3"/>
    <n v="2"/>
    <n v="2"/>
    <n v="2"/>
    <n v="2"/>
    <x v="1"/>
    <x v="3"/>
    <x v="2"/>
  </r>
  <r>
    <n v="37"/>
    <x v="1"/>
    <s v="Travel_Rarely"/>
    <n v="589"/>
    <x v="0"/>
    <n v="9"/>
    <n v="2"/>
    <s v="Marketing"/>
    <n v="1"/>
    <n v="1787"/>
    <n v="2"/>
    <s v="Male"/>
    <n v="46"/>
    <n v="2"/>
    <n v="2"/>
    <x v="0"/>
    <n v="2"/>
    <s v="Married"/>
    <n v="4189"/>
    <n v="8800"/>
    <n v="1"/>
    <s v="Y"/>
    <x v="1"/>
    <n v="14"/>
    <n v="3"/>
    <n v="1"/>
    <n v="80"/>
    <n v="2"/>
    <n v="5"/>
    <n v="2"/>
    <n v="3"/>
    <n v="5"/>
    <n v="2"/>
    <n v="0"/>
    <n v="3"/>
    <x v="1"/>
    <x v="1"/>
    <x v="0"/>
  </r>
  <r>
    <n v="46"/>
    <x v="1"/>
    <s v="Travel_Rarely"/>
    <n v="734"/>
    <x v="1"/>
    <n v="2"/>
    <n v="4"/>
    <s v="Medical"/>
    <n v="1"/>
    <n v="1789"/>
    <n v="3"/>
    <s v="Male"/>
    <n v="46"/>
    <n v="3"/>
    <n v="5"/>
    <x v="7"/>
    <n v="4"/>
    <s v="Divorced"/>
    <n v="19328"/>
    <n v="14218"/>
    <n v="7"/>
    <s v="Y"/>
    <x v="0"/>
    <n v="17"/>
    <n v="3"/>
    <n v="3"/>
    <n v="80"/>
    <n v="1"/>
    <n v="24"/>
    <n v="3"/>
    <n v="3"/>
    <n v="2"/>
    <n v="1"/>
    <n v="2"/>
    <n v="2"/>
    <x v="1"/>
    <x v="0"/>
    <x v="2"/>
  </r>
  <r>
    <n v="36"/>
    <x v="1"/>
    <s v="Travel_Rarely"/>
    <n v="1383"/>
    <x v="1"/>
    <n v="10"/>
    <n v="3"/>
    <s v="Life Sciences"/>
    <n v="1"/>
    <n v="1790"/>
    <n v="4"/>
    <s v="Male"/>
    <n v="90"/>
    <n v="3"/>
    <n v="3"/>
    <x v="4"/>
    <n v="1"/>
    <s v="Married"/>
    <n v="8321"/>
    <n v="25949"/>
    <n v="7"/>
    <s v="Y"/>
    <x v="0"/>
    <n v="13"/>
    <n v="3"/>
    <n v="4"/>
    <n v="80"/>
    <n v="1"/>
    <n v="15"/>
    <n v="1"/>
    <n v="3"/>
    <n v="12"/>
    <n v="8"/>
    <n v="5"/>
    <n v="7"/>
    <x v="1"/>
    <x v="1"/>
    <x v="2"/>
  </r>
  <r>
    <n v="44"/>
    <x v="0"/>
    <s v="Travel_Frequently"/>
    <n v="429"/>
    <x v="1"/>
    <n v="1"/>
    <n v="2"/>
    <s v="Medical"/>
    <n v="1"/>
    <n v="1792"/>
    <n v="3"/>
    <s v="Male"/>
    <n v="99"/>
    <n v="3"/>
    <n v="1"/>
    <x v="1"/>
    <n v="2"/>
    <s v="Divorced"/>
    <n v="2342"/>
    <n v="11092"/>
    <n v="1"/>
    <s v="Y"/>
    <x v="0"/>
    <n v="12"/>
    <n v="3"/>
    <n v="3"/>
    <n v="80"/>
    <n v="3"/>
    <n v="6"/>
    <n v="2"/>
    <n v="2"/>
    <n v="5"/>
    <n v="3"/>
    <n v="2"/>
    <n v="3"/>
    <x v="0"/>
    <x v="0"/>
    <x v="1"/>
  </r>
  <r>
    <n v="37"/>
    <x v="1"/>
    <s v="Travel_Rarely"/>
    <n v="1239"/>
    <x v="2"/>
    <n v="8"/>
    <n v="2"/>
    <s v="Other"/>
    <n v="1"/>
    <n v="1794"/>
    <n v="3"/>
    <s v="Male"/>
    <n v="89"/>
    <n v="3"/>
    <n v="2"/>
    <x v="8"/>
    <n v="2"/>
    <s v="Divorced"/>
    <n v="4071"/>
    <n v="12832"/>
    <n v="2"/>
    <s v="Y"/>
    <x v="1"/>
    <n v="13"/>
    <n v="3"/>
    <n v="3"/>
    <n v="80"/>
    <n v="0"/>
    <n v="19"/>
    <n v="4"/>
    <n v="2"/>
    <n v="10"/>
    <n v="0"/>
    <n v="4"/>
    <n v="7"/>
    <x v="1"/>
    <x v="1"/>
    <x v="0"/>
  </r>
  <r>
    <n v="35"/>
    <x v="0"/>
    <s v="Travel_Rarely"/>
    <n v="303"/>
    <x v="0"/>
    <n v="27"/>
    <n v="3"/>
    <s v="Life Sciences"/>
    <n v="1"/>
    <n v="1797"/>
    <n v="3"/>
    <s v="Male"/>
    <n v="84"/>
    <n v="3"/>
    <n v="2"/>
    <x v="0"/>
    <n v="4"/>
    <s v="Single"/>
    <n v="5813"/>
    <n v="13492"/>
    <n v="1"/>
    <s v="Y"/>
    <x v="0"/>
    <n v="18"/>
    <n v="3"/>
    <n v="4"/>
    <n v="80"/>
    <n v="0"/>
    <n v="10"/>
    <n v="2"/>
    <n v="3"/>
    <n v="10"/>
    <n v="7"/>
    <n v="7"/>
    <n v="7"/>
    <x v="0"/>
    <x v="1"/>
    <x v="0"/>
  </r>
  <r>
    <n v="33"/>
    <x v="1"/>
    <s v="Travel_Rarely"/>
    <n v="867"/>
    <x v="1"/>
    <n v="8"/>
    <n v="4"/>
    <s v="Life Sciences"/>
    <n v="1"/>
    <n v="1798"/>
    <n v="4"/>
    <s v="Male"/>
    <n v="90"/>
    <n v="4"/>
    <n v="1"/>
    <x v="1"/>
    <n v="1"/>
    <s v="Married"/>
    <n v="3143"/>
    <n v="6076"/>
    <n v="6"/>
    <s v="Y"/>
    <x v="1"/>
    <n v="19"/>
    <n v="3"/>
    <n v="2"/>
    <n v="80"/>
    <n v="1"/>
    <n v="14"/>
    <n v="1"/>
    <n v="3"/>
    <n v="10"/>
    <n v="8"/>
    <n v="7"/>
    <n v="6"/>
    <x v="1"/>
    <x v="1"/>
    <x v="0"/>
  </r>
  <r>
    <n v="28"/>
    <x v="1"/>
    <s v="Travel_Rarely"/>
    <n v="1181"/>
    <x v="1"/>
    <n v="1"/>
    <n v="3"/>
    <s v="Life Sciences"/>
    <n v="1"/>
    <n v="1799"/>
    <n v="3"/>
    <s v="Male"/>
    <n v="82"/>
    <n v="3"/>
    <n v="1"/>
    <x v="1"/>
    <n v="4"/>
    <s v="Married"/>
    <n v="2044"/>
    <n v="5531"/>
    <n v="1"/>
    <s v="Y"/>
    <x v="1"/>
    <n v="11"/>
    <n v="3"/>
    <n v="3"/>
    <n v="80"/>
    <n v="1"/>
    <n v="5"/>
    <n v="6"/>
    <n v="4"/>
    <n v="5"/>
    <n v="3"/>
    <n v="0"/>
    <n v="3"/>
    <x v="1"/>
    <x v="2"/>
    <x v="1"/>
  </r>
  <r>
    <n v="39"/>
    <x v="1"/>
    <s v="Travel_Rarely"/>
    <n v="1253"/>
    <x v="1"/>
    <n v="10"/>
    <n v="1"/>
    <s v="Medical"/>
    <n v="1"/>
    <n v="1800"/>
    <n v="3"/>
    <s v="Male"/>
    <n v="65"/>
    <n v="3"/>
    <n v="3"/>
    <x v="7"/>
    <n v="3"/>
    <s v="Single"/>
    <n v="13464"/>
    <n v="7914"/>
    <n v="7"/>
    <s v="Y"/>
    <x v="1"/>
    <n v="21"/>
    <n v="4"/>
    <n v="3"/>
    <n v="80"/>
    <n v="0"/>
    <n v="9"/>
    <n v="3"/>
    <n v="3"/>
    <n v="4"/>
    <n v="3"/>
    <n v="2"/>
    <n v="2"/>
    <x v="1"/>
    <x v="1"/>
    <x v="2"/>
  </r>
  <r>
    <n v="46"/>
    <x v="1"/>
    <s v="Non-Travel"/>
    <n v="849"/>
    <x v="0"/>
    <n v="26"/>
    <n v="2"/>
    <s v="Life Sciences"/>
    <n v="1"/>
    <n v="1801"/>
    <n v="2"/>
    <s v="Male"/>
    <n v="98"/>
    <n v="2"/>
    <n v="2"/>
    <x v="0"/>
    <n v="2"/>
    <s v="Single"/>
    <n v="7991"/>
    <n v="25166"/>
    <n v="8"/>
    <s v="Y"/>
    <x v="1"/>
    <n v="15"/>
    <n v="3"/>
    <n v="3"/>
    <n v="80"/>
    <n v="0"/>
    <n v="6"/>
    <n v="3"/>
    <n v="3"/>
    <n v="2"/>
    <n v="2"/>
    <n v="2"/>
    <n v="2"/>
    <x v="1"/>
    <x v="0"/>
    <x v="2"/>
  </r>
  <r>
    <n v="40"/>
    <x v="1"/>
    <s v="Travel_Rarely"/>
    <n v="616"/>
    <x v="1"/>
    <n v="2"/>
    <n v="2"/>
    <s v="Life Sciences"/>
    <n v="1"/>
    <n v="1802"/>
    <n v="3"/>
    <s v="Female"/>
    <n v="99"/>
    <n v="3"/>
    <n v="1"/>
    <x v="2"/>
    <n v="1"/>
    <s v="Married"/>
    <n v="3377"/>
    <n v="25605"/>
    <n v="4"/>
    <s v="Y"/>
    <x v="1"/>
    <n v="17"/>
    <n v="3"/>
    <n v="4"/>
    <n v="80"/>
    <n v="1"/>
    <n v="7"/>
    <n v="5"/>
    <n v="2"/>
    <n v="4"/>
    <n v="3"/>
    <n v="0"/>
    <n v="2"/>
    <x v="1"/>
    <x v="0"/>
    <x v="0"/>
  </r>
  <r>
    <n v="42"/>
    <x v="1"/>
    <s v="Travel_Rarely"/>
    <n v="1128"/>
    <x v="1"/>
    <n v="13"/>
    <n v="3"/>
    <s v="Medical"/>
    <n v="1"/>
    <n v="1803"/>
    <n v="2"/>
    <s v="Male"/>
    <n v="95"/>
    <n v="4"/>
    <n v="2"/>
    <x v="4"/>
    <n v="1"/>
    <s v="Married"/>
    <n v="5538"/>
    <n v="5696"/>
    <n v="5"/>
    <s v="Y"/>
    <x v="1"/>
    <n v="18"/>
    <n v="3"/>
    <n v="3"/>
    <n v="80"/>
    <n v="2"/>
    <n v="10"/>
    <n v="2"/>
    <n v="2"/>
    <n v="0"/>
    <n v="0"/>
    <n v="0"/>
    <n v="0"/>
    <x v="1"/>
    <x v="0"/>
    <x v="0"/>
  </r>
  <r>
    <n v="35"/>
    <x v="1"/>
    <s v="Non-Travel"/>
    <n v="1180"/>
    <x v="1"/>
    <n v="2"/>
    <n v="2"/>
    <s v="Medical"/>
    <n v="1"/>
    <n v="1804"/>
    <n v="2"/>
    <s v="Male"/>
    <n v="90"/>
    <n v="3"/>
    <n v="2"/>
    <x v="3"/>
    <n v="4"/>
    <s v="Divorced"/>
    <n v="5762"/>
    <n v="24442"/>
    <n v="2"/>
    <s v="Y"/>
    <x v="1"/>
    <n v="14"/>
    <n v="3"/>
    <n v="3"/>
    <n v="80"/>
    <n v="1"/>
    <n v="15"/>
    <n v="6"/>
    <n v="3"/>
    <n v="7"/>
    <n v="7"/>
    <n v="1"/>
    <n v="7"/>
    <x v="1"/>
    <x v="1"/>
    <x v="0"/>
  </r>
  <r>
    <n v="38"/>
    <x v="1"/>
    <s v="Non-Travel"/>
    <n v="1336"/>
    <x v="2"/>
    <n v="2"/>
    <n v="3"/>
    <s v="Human Resources"/>
    <n v="1"/>
    <n v="1805"/>
    <n v="1"/>
    <s v="Male"/>
    <n v="100"/>
    <n v="3"/>
    <n v="1"/>
    <x v="8"/>
    <n v="2"/>
    <s v="Divorced"/>
    <n v="2592"/>
    <n v="7129"/>
    <n v="5"/>
    <s v="Y"/>
    <x v="1"/>
    <n v="13"/>
    <n v="3"/>
    <n v="4"/>
    <n v="80"/>
    <n v="3"/>
    <n v="13"/>
    <n v="3"/>
    <n v="3"/>
    <n v="11"/>
    <n v="10"/>
    <n v="3"/>
    <n v="8"/>
    <x v="1"/>
    <x v="1"/>
    <x v="1"/>
  </r>
  <r>
    <n v="34"/>
    <x v="0"/>
    <s v="Travel_Frequently"/>
    <n v="234"/>
    <x v="1"/>
    <n v="9"/>
    <n v="4"/>
    <s v="Life Sciences"/>
    <n v="1"/>
    <n v="1807"/>
    <n v="4"/>
    <s v="Male"/>
    <n v="93"/>
    <n v="3"/>
    <n v="2"/>
    <x v="2"/>
    <n v="1"/>
    <s v="Married"/>
    <n v="5346"/>
    <n v="6208"/>
    <n v="4"/>
    <s v="Y"/>
    <x v="1"/>
    <n v="17"/>
    <n v="3"/>
    <n v="3"/>
    <n v="80"/>
    <n v="1"/>
    <n v="11"/>
    <n v="3"/>
    <n v="2"/>
    <n v="7"/>
    <n v="1"/>
    <n v="0"/>
    <n v="7"/>
    <x v="0"/>
    <x v="1"/>
    <x v="0"/>
  </r>
  <r>
    <n v="37"/>
    <x v="0"/>
    <s v="Travel_Rarely"/>
    <n v="370"/>
    <x v="1"/>
    <n v="10"/>
    <n v="4"/>
    <s v="Medical"/>
    <n v="1"/>
    <n v="1809"/>
    <n v="4"/>
    <s v="Male"/>
    <n v="58"/>
    <n v="3"/>
    <n v="2"/>
    <x v="3"/>
    <n v="1"/>
    <s v="Single"/>
    <n v="4213"/>
    <n v="4992"/>
    <n v="1"/>
    <s v="Y"/>
    <x v="1"/>
    <n v="15"/>
    <n v="3"/>
    <n v="2"/>
    <n v="80"/>
    <n v="0"/>
    <n v="10"/>
    <n v="4"/>
    <n v="1"/>
    <n v="10"/>
    <n v="3"/>
    <n v="0"/>
    <n v="8"/>
    <x v="0"/>
    <x v="1"/>
    <x v="0"/>
  </r>
  <r>
    <n v="39"/>
    <x v="1"/>
    <s v="Travel_Frequently"/>
    <n v="766"/>
    <x v="0"/>
    <n v="20"/>
    <n v="3"/>
    <s v="Life Sciences"/>
    <n v="1"/>
    <n v="1812"/>
    <n v="3"/>
    <s v="Male"/>
    <n v="83"/>
    <n v="3"/>
    <n v="2"/>
    <x v="0"/>
    <n v="4"/>
    <s v="Divorced"/>
    <n v="4127"/>
    <n v="19188"/>
    <n v="2"/>
    <s v="Y"/>
    <x v="1"/>
    <n v="18"/>
    <n v="3"/>
    <n v="4"/>
    <n v="80"/>
    <n v="1"/>
    <n v="7"/>
    <n v="6"/>
    <n v="3"/>
    <n v="2"/>
    <n v="1"/>
    <n v="2"/>
    <n v="2"/>
    <x v="1"/>
    <x v="1"/>
    <x v="0"/>
  </r>
  <r>
    <n v="43"/>
    <x v="1"/>
    <s v="Non-Travel"/>
    <n v="343"/>
    <x v="1"/>
    <n v="9"/>
    <n v="3"/>
    <s v="Life Sciences"/>
    <n v="1"/>
    <n v="1813"/>
    <n v="1"/>
    <s v="Male"/>
    <n v="52"/>
    <n v="3"/>
    <n v="1"/>
    <x v="1"/>
    <n v="3"/>
    <s v="Single"/>
    <n v="2438"/>
    <n v="24978"/>
    <n v="4"/>
    <s v="Y"/>
    <x v="1"/>
    <n v="13"/>
    <n v="3"/>
    <n v="3"/>
    <n v="80"/>
    <n v="0"/>
    <n v="7"/>
    <n v="2"/>
    <n v="2"/>
    <n v="3"/>
    <n v="2"/>
    <n v="1"/>
    <n v="2"/>
    <x v="1"/>
    <x v="0"/>
    <x v="1"/>
  </r>
  <r>
    <n v="41"/>
    <x v="1"/>
    <s v="Travel_Rarely"/>
    <n v="447"/>
    <x v="1"/>
    <n v="5"/>
    <n v="3"/>
    <s v="Life Sciences"/>
    <n v="1"/>
    <n v="1814"/>
    <n v="2"/>
    <s v="Male"/>
    <n v="85"/>
    <n v="4"/>
    <n v="2"/>
    <x v="4"/>
    <n v="2"/>
    <s v="Single"/>
    <n v="6870"/>
    <n v="15530"/>
    <n v="3"/>
    <s v="Y"/>
    <x v="1"/>
    <n v="12"/>
    <n v="3"/>
    <n v="1"/>
    <n v="80"/>
    <n v="0"/>
    <n v="11"/>
    <n v="3"/>
    <n v="1"/>
    <n v="3"/>
    <n v="2"/>
    <n v="1"/>
    <n v="2"/>
    <x v="1"/>
    <x v="0"/>
    <x v="0"/>
  </r>
  <r>
    <n v="41"/>
    <x v="1"/>
    <s v="Travel_Rarely"/>
    <n v="796"/>
    <x v="0"/>
    <n v="4"/>
    <n v="1"/>
    <s v="Marketing"/>
    <n v="1"/>
    <n v="1815"/>
    <n v="3"/>
    <s v="Female"/>
    <n v="81"/>
    <n v="3"/>
    <n v="3"/>
    <x v="0"/>
    <n v="3"/>
    <s v="Divorced"/>
    <n v="10447"/>
    <n v="26458"/>
    <n v="0"/>
    <s v="Y"/>
    <x v="0"/>
    <n v="13"/>
    <n v="3"/>
    <n v="4"/>
    <n v="80"/>
    <n v="1"/>
    <n v="23"/>
    <n v="3"/>
    <n v="4"/>
    <n v="22"/>
    <n v="14"/>
    <n v="13"/>
    <n v="5"/>
    <x v="1"/>
    <x v="0"/>
    <x v="2"/>
  </r>
  <r>
    <n v="30"/>
    <x v="1"/>
    <s v="Travel_Rarely"/>
    <n v="1092"/>
    <x v="1"/>
    <n v="10"/>
    <n v="3"/>
    <s v="Medical"/>
    <n v="1"/>
    <n v="1816"/>
    <n v="1"/>
    <s v="Female"/>
    <n v="64"/>
    <n v="3"/>
    <n v="3"/>
    <x v="3"/>
    <n v="3"/>
    <s v="Single"/>
    <n v="9667"/>
    <n v="2739"/>
    <n v="9"/>
    <s v="Y"/>
    <x v="1"/>
    <n v="14"/>
    <n v="3"/>
    <n v="2"/>
    <n v="80"/>
    <n v="0"/>
    <n v="9"/>
    <n v="3"/>
    <n v="3"/>
    <n v="7"/>
    <n v="7"/>
    <n v="0"/>
    <n v="2"/>
    <x v="1"/>
    <x v="1"/>
    <x v="2"/>
  </r>
  <r>
    <n v="26"/>
    <x v="0"/>
    <s v="Travel_Rarely"/>
    <n v="920"/>
    <x v="2"/>
    <n v="20"/>
    <n v="2"/>
    <s v="Medical"/>
    <n v="1"/>
    <n v="1818"/>
    <n v="4"/>
    <s v="Female"/>
    <n v="69"/>
    <n v="3"/>
    <n v="1"/>
    <x v="8"/>
    <n v="2"/>
    <s v="Married"/>
    <n v="2148"/>
    <n v="6889"/>
    <n v="0"/>
    <s v="Y"/>
    <x v="0"/>
    <n v="11"/>
    <n v="3"/>
    <n v="3"/>
    <n v="80"/>
    <n v="0"/>
    <n v="6"/>
    <n v="3"/>
    <n v="3"/>
    <n v="5"/>
    <n v="1"/>
    <n v="1"/>
    <n v="4"/>
    <x v="0"/>
    <x v="2"/>
    <x v="1"/>
  </r>
  <r>
    <n v="46"/>
    <x v="0"/>
    <s v="Travel_Rarely"/>
    <n v="261"/>
    <x v="1"/>
    <n v="21"/>
    <n v="2"/>
    <s v="Medical"/>
    <n v="1"/>
    <n v="1821"/>
    <n v="4"/>
    <s v="Female"/>
    <n v="66"/>
    <n v="3"/>
    <n v="2"/>
    <x v="4"/>
    <n v="2"/>
    <s v="Married"/>
    <n v="8926"/>
    <n v="10842"/>
    <n v="4"/>
    <s v="Y"/>
    <x v="1"/>
    <n v="22"/>
    <n v="4"/>
    <n v="4"/>
    <n v="80"/>
    <n v="1"/>
    <n v="13"/>
    <n v="2"/>
    <n v="4"/>
    <n v="9"/>
    <n v="7"/>
    <n v="3"/>
    <n v="7"/>
    <x v="0"/>
    <x v="0"/>
    <x v="2"/>
  </r>
  <r>
    <n v="40"/>
    <x v="1"/>
    <s v="Travel_Rarely"/>
    <n v="1194"/>
    <x v="1"/>
    <n v="1"/>
    <n v="3"/>
    <s v="Life Sciences"/>
    <n v="1"/>
    <n v="1822"/>
    <n v="3"/>
    <s v="Female"/>
    <n v="52"/>
    <n v="3"/>
    <n v="2"/>
    <x v="4"/>
    <n v="4"/>
    <s v="Divorced"/>
    <n v="6513"/>
    <n v="9060"/>
    <n v="4"/>
    <s v="Y"/>
    <x v="1"/>
    <n v="17"/>
    <n v="3"/>
    <n v="4"/>
    <n v="80"/>
    <n v="1"/>
    <n v="12"/>
    <n v="3"/>
    <n v="3"/>
    <n v="5"/>
    <n v="3"/>
    <n v="0"/>
    <n v="3"/>
    <x v="1"/>
    <x v="0"/>
    <x v="0"/>
  </r>
  <r>
    <n v="34"/>
    <x v="1"/>
    <s v="Travel_Rarely"/>
    <n v="810"/>
    <x v="0"/>
    <n v="8"/>
    <n v="2"/>
    <s v="Technical Degree"/>
    <n v="1"/>
    <n v="1823"/>
    <n v="2"/>
    <s v="Male"/>
    <n v="92"/>
    <n v="4"/>
    <n v="2"/>
    <x v="0"/>
    <n v="3"/>
    <s v="Married"/>
    <n v="6799"/>
    <n v="22128"/>
    <n v="1"/>
    <s v="Y"/>
    <x v="1"/>
    <n v="21"/>
    <n v="4"/>
    <n v="3"/>
    <n v="80"/>
    <n v="2"/>
    <n v="10"/>
    <n v="5"/>
    <n v="3"/>
    <n v="10"/>
    <n v="8"/>
    <n v="4"/>
    <n v="8"/>
    <x v="1"/>
    <x v="1"/>
    <x v="0"/>
  </r>
  <r>
    <n v="58"/>
    <x v="1"/>
    <s v="Non-Travel"/>
    <n v="350"/>
    <x v="0"/>
    <n v="2"/>
    <n v="3"/>
    <s v="Medical"/>
    <n v="1"/>
    <n v="1824"/>
    <n v="2"/>
    <s v="Male"/>
    <n v="52"/>
    <n v="3"/>
    <n v="4"/>
    <x v="5"/>
    <n v="2"/>
    <s v="Divorced"/>
    <n v="16291"/>
    <n v="22577"/>
    <n v="4"/>
    <s v="Y"/>
    <x v="1"/>
    <n v="22"/>
    <n v="4"/>
    <n v="4"/>
    <n v="80"/>
    <n v="1"/>
    <n v="37"/>
    <n v="0"/>
    <n v="2"/>
    <n v="16"/>
    <n v="9"/>
    <n v="14"/>
    <n v="14"/>
    <x v="1"/>
    <x v="3"/>
    <x v="2"/>
  </r>
  <r>
    <n v="35"/>
    <x v="1"/>
    <s v="Travel_Rarely"/>
    <n v="185"/>
    <x v="1"/>
    <n v="23"/>
    <n v="4"/>
    <s v="Medical"/>
    <n v="1"/>
    <n v="1826"/>
    <n v="2"/>
    <s v="Male"/>
    <n v="91"/>
    <n v="1"/>
    <n v="1"/>
    <x v="2"/>
    <n v="3"/>
    <s v="Married"/>
    <n v="2705"/>
    <n v="9696"/>
    <n v="0"/>
    <s v="Y"/>
    <x v="1"/>
    <n v="16"/>
    <n v="3"/>
    <n v="2"/>
    <n v="80"/>
    <n v="1"/>
    <n v="6"/>
    <n v="2"/>
    <n v="4"/>
    <n v="5"/>
    <n v="4"/>
    <n v="0"/>
    <n v="3"/>
    <x v="1"/>
    <x v="1"/>
    <x v="1"/>
  </r>
  <r>
    <n v="47"/>
    <x v="1"/>
    <s v="Travel_Rarely"/>
    <n v="1001"/>
    <x v="1"/>
    <n v="4"/>
    <n v="3"/>
    <s v="Life Sciences"/>
    <n v="1"/>
    <n v="1827"/>
    <n v="3"/>
    <s v="Female"/>
    <n v="92"/>
    <n v="2"/>
    <n v="3"/>
    <x v="3"/>
    <n v="2"/>
    <s v="Divorced"/>
    <n v="10333"/>
    <n v="19271"/>
    <n v="8"/>
    <s v="Y"/>
    <x v="0"/>
    <n v="12"/>
    <n v="3"/>
    <n v="3"/>
    <n v="80"/>
    <n v="1"/>
    <n v="28"/>
    <n v="4"/>
    <n v="3"/>
    <n v="22"/>
    <n v="11"/>
    <n v="14"/>
    <n v="10"/>
    <x v="1"/>
    <x v="0"/>
    <x v="2"/>
  </r>
  <r>
    <n v="40"/>
    <x v="1"/>
    <s v="Travel_Rarely"/>
    <n v="750"/>
    <x v="1"/>
    <n v="12"/>
    <n v="3"/>
    <s v="Life Sciences"/>
    <n v="1"/>
    <n v="1829"/>
    <n v="2"/>
    <s v="Female"/>
    <n v="47"/>
    <n v="3"/>
    <n v="2"/>
    <x v="4"/>
    <n v="1"/>
    <s v="Divorced"/>
    <n v="4448"/>
    <n v="10748"/>
    <n v="2"/>
    <s v="Y"/>
    <x v="1"/>
    <n v="12"/>
    <n v="3"/>
    <n v="2"/>
    <n v="80"/>
    <n v="1"/>
    <n v="15"/>
    <n v="3"/>
    <n v="3"/>
    <n v="7"/>
    <n v="4"/>
    <n v="7"/>
    <n v="7"/>
    <x v="1"/>
    <x v="0"/>
    <x v="0"/>
  </r>
  <r>
    <n v="54"/>
    <x v="1"/>
    <s v="Travel_Rarely"/>
    <n v="431"/>
    <x v="1"/>
    <n v="7"/>
    <n v="4"/>
    <s v="Medical"/>
    <n v="1"/>
    <n v="1830"/>
    <n v="4"/>
    <s v="Female"/>
    <n v="68"/>
    <n v="3"/>
    <n v="2"/>
    <x v="1"/>
    <n v="4"/>
    <s v="Married"/>
    <n v="6854"/>
    <n v="15696"/>
    <n v="4"/>
    <s v="Y"/>
    <x v="1"/>
    <n v="15"/>
    <n v="3"/>
    <n v="2"/>
    <n v="80"/>
    <n v="1"/>
    <n v="14"/>
    <n v="2"/>
    <n v="2"/>
    <n v="7"/>
    <n v="1"/>
    <n v="1"/>
    <n v="7"/>
    <x v="1"/>
    <x v="3"/>
    <x v="0"/>
  </r>
  <r>
    <n v="31"/>
    <x v="1"/>
    <s v="Travel_Frequently"/>
    <n v="1125"/>
    <x v="0"/>
    <n v="7"/>
    <n v="4"/>
    <s v="Marketing"/>
    <n v="1"/>
    <n v="1833"/>
    <n v="1"/>
    <s v="Female"/>
    <n v="68"/>
    <n v="3"/>
    <n v="3"/>
    <x v="0"/>
    <n v="1"/>
    <s v="Married"/>
    <n v="9637"/>
    <n v="8277"/>
    <n v="2"/>
    <s v="Y"/>
    <x v="1"/>
    <n v="14"/>
    <n v="3"/>
    <n v="4"/>
    <n v="80"/>
    <n v="2"/>
    <n v="9"/>
    <n v="3"/>
    <n v="3"/>
    <n v="3"/>
    <n v="2"/>
    <n v="2"/>
    <n v="2"/>
    <x v="1"/>
    <x v="1"/>
    <x v="2"/>
  </r>
  <r>
    <n v="28"/>
    <x v="1"/>
    <s v="Travel_Rarely"/>
    <n v="1217"/>
    <x v="1"/>
    <n v="1"/>
    <n v="3"/>
    <s v="Medical"/>
    <n v="1"/>
    <n v="1834"/>
    <n v="3"/>
    <s v="Female"/>
    <n v="67"/>
    <n v="3"/>
    <n v="1"/>
    <x v="1"/>
    <n v="1"/>
    <s v="Married"/>
    <n v="3591"/>
    <n v="12719"/>
    <n v="1"/>
    <s v="Y"/>
    <x v="1"/>
    <n v="25"/>
    <n v="4"/>
    <n v="3"/>
    <n v="80"/>
    <n v="1"/>
    <n v="3"/>
    <n v="3"/>
    <n v="3"/>
    <n v="3"/>
    <n v="2"/>
    <n v="1"/>
    <n v="2"/>
    <x v="1"/>
    <x v="2"/>
    <x v="0"/>
  </r>
  <r>
    <n v="38"/>
    <x v="1"/>
    <s v="Travel_Rarely"/>
    <n v="723"/>
    <x v="0"/>
    <n v="2"/>
    <n v="4"/>
    <s v="Marketing"/>
    <n v="1"/>
    <n v="1835"/>
    <n v="2"/>
    <s v="Female"/>
    <n v="77"/>
    <n v="1"/>
    <n v="2"/>
    <x v="6"/>
    <n v="4"/>
    <s v="Married"/>
    <n v="5405"/>
    <n v="4244"/>
    <n v="2"/>
    <s v="Y"/>
    <x v="0"/>
    <n v="20"/>
    <n v="4"/>
    <n v="1"/>
    <n v="80"/>
    <n v="2"/>
    <n v="20"/>
    <n v="4"/>
    <n v="2"/>
    <n v="4"/>
    <n v="2"/>
    <n v="0"/>
    <n v="3"/>
    <x v="1"/>
    <x v="1"/>
    <x v="0"/>
  </r>
  <r>
    <n v="26"/>
    <x v="1"/>
    <s v="Travel_Rarely"/>
    <n v="572"/>
    <x v="0"/>
    <n v="10"/>
    <n v="3"/>
    <s v="Medical"/>
    <n v="1"/>
    <n v="1836"/>
    <n v="3"/>
    <s v="Male"/>
    <n v="46"/>
    <n v="3"/>
    <n v="2"/>
    <x v="0"/>
    <n v="4"/>
    <s v="Single"/>
    <n v="4684"/>
    <n v="9125"/>
    <n v="1"/>
    <s v="Y"/>
    <x v="1"/>
    <n v="13"/>
    <n v="3"/>
    <n v="1"/>
    <n v="80"/>
    <n v="0"/>
    <n v="5"/>
    <n v="4"/>
    <n v="3"/>
    <n v="5"/>
    <n v="3"/>
    <n v="1"/>
    <n v="2"/>
    <x v="1"/>
    <x v="2"/>
    <x v="0"/>
  </r>
  <r>
    <n v="58"/>
    <x v="1"/>
    <s v="Travel_Frequently"/>
    <n v="1216"/>
    <x v="1"/>
    <n v="15"/>
    <n v="4"/>
    <s v="Life Sciences"/>
    <n v="1"/>
    <n v="1837"/>
    <n v="1"/>
    <s v="Male"/>
    <n v="87"/>
    <n v="3"/>
    <n v="4"/>
    <x v="7"/>
    <n v="3"/>
    <s v="Married"/>
    <n v="15787"/>
    <n v="21624"/>
    <n v="2"/>
    <s v="Y"/>
    <x v="0"/>
    <n v="14"/>
    <n v="3"/>
    <n v="2"/>
    <n v="80"/>
    <n v="0"/>
    <n v="23"/>
    <n v="3"/>
    <n v="3"/>
    <n v="2"/>
    <n v="2"/>
    <n v="2"/>
    <n v="2"/>
    <x v="1"/>
    <x v="3"/>
    <x v="2"/>
  </r>
  <r>
    <n v="18"/>
    <x v="1"/>
    <s v="Non-Travel"/>
    <n v="1431"/>
    <x v="1"/>
    <n v="14"/>
    <n v="3"/>
    <s v="Medical"/>
    <n v="1"/>
    <n v="1839"/>
    <n v="2"/>
    <s v="Female"/>
    <n v="33"/>
    <n v="3"/>
    <n v="1"/>
    <x v="1"/>
    <n v="3"/>
    <s v="Single"/>
    <n v="1514"/>
    <n v="8018"/>
    <n v="1"/>
    <s v="Y"/>
    <x v="1"/>
    <n v="16"/>
    <n v="3"/>
    <n v="3"/>
    <n v="80"/>
    <n v="0"/>
    <n v="0"/>
    <n v="4"/>
    <n v="1"/>
    <n v="0"/>
    <n v="0"/>
    <n v="0"/>
    <n v="0"/>
    <x v="1"/>
    <x v="2"/>
    <x v="1"/>
  </r>
  <r>
    <n v="31"/>
    <x v="0"/>
    <s v="Travel_Rarely"/>
    <n v="359"/>
    <x v="2"/>
    <n v="18"/>
    <n v="5"/>
    <s v="Human Resources"/>
    <n v="1"/>
    <n v="1842"/>
    <n v="4"/>
    <s v="Male"/>
    <n v="89"/>
    <n v="4"/>
    <n v="1"/>
    <x v="8"/>
    <n v="1"/>
    <s v="Married"/>
    <n v="2956"/>
    <n v="21495"/>
    <n v="0"/>
    <s v="Y"/>
    <x v="1"/>
    <n v="17"/>
    <n v="3"/>
    <n v="3"/>
    <n v="80"/>
    <n v="0"/>
    <n v="2"/>
    <n v="4"/>
    <n v="3"/>
    <n v="1"/>
    <n v="0"/>
    <n v="0"/>
    <n v="0"/>
    <x v="0"/>
    <x v="1"/>
    <x v="1"/>
  </r>
  <r>
    <n v="29"/>
    <x v="0"/>
    <s v="Travel_Rarely"/>
    <n v="350"/>
    <x v="2"/>
    <n v="13"/>
    <n v="3"/>
    <s v="Human Resources"/>
    <n v="1"/>
    <n v="1844"/>
    <n v="1"/>
    <s v="Male"/>
    <n v="56"/>
    <n v="2"/>
    <n v="1"/>
    <x v="8"/>
    <n v="1"/>
    <s v="Divorced"/>
    <n v="2335"/>
    <n v="3157"/>
    <n v="4"/>
    <s v="Y"/>
    <x v="0"/>
    <n v="15"/>
    <n v="3"/>
    <n v="4"/>
    <n v="80"/>
    <n v="3"/>
    <n v="4"/>
    <n v="3"/>
    <n v="3"/>
    <n v="2"/>
    <n v="2"/>
    <n v="2"/>
    <n v="0"/>
    <x v="0"/>
    <x v="2"/>
    <x v="1"/>
  </r>
  <r>
    <n v="45"/>
    <x v="1"/>
    <s v="Non-Travel"/>
    <n v="589"/>
    <x v="0"/>
    <n v="2"/>
    <n v="4"/>
    <s v="Life Sciences"/>
    <n v="1"/>
    <n v="1845"/>
    <n v="3"/>
    <s v="Female"/>
    <n v="67"/>
    <n v="3"/>
    <n v="2"/>
    <x v="0"/>
    <n v="3"/>
    <s v="Married"/>
    <n v="5154"/>
    <n v="19665"/>
    <n v="4"/>
    <s v="Y"/>
    <x v="1"/>
    <n v="22"/>
    <n v="4"/>
    <n v="2"/>
    <n v="80"/>
    <n v="2"/>
    <n v="10"/>
    <n v="3"/>
    <n v="4"/>
    <n v="8"/>
    <n v="7"/>
    <n v="5"/>
    <n v="7"/>
    <x v="1"/>
    <x v="0"/>
    <x v="0"/>
  </r>
  <r>
    <n v="36"/>
    <x v="1"/>
    <s v="Travel_Rarely"/>
    <n v="430"/>
    <x v="1"/>
    <n v="2"/>
    <n v="4"/>
    <s v="Other"/>
    <n v="1"/>
    <n v="1847"/>
    <n v="4"/>
    <s v="Female"/>
    <n v="73"/>
    <n v="3"/>
    <n v="2"/>
    <x v="1"/>
    <n v="2"/>
    <s v="Married"/>
    <n v="6962"/>
    <n v="19573"/>
    <n v="4"/>
    <s v="Y"/>
    <x v="0"/>
    <n v="22"/>
    <n v="4"/>
    <n v="4"/>
    <n v="80"/>
    <n v="1"/>
    <n v="15"/>
    <n v="2"/>
    <n v="3"/>
    <n v="1"/>
    <n v="0"/>
    <n v="0"/>
    <n v="0"/>
    <x v="1"/>
    <x v="1"/>
    <x v="0"/>
  </r>
  <r>
    <n v="43"/>
    <x v="1"/>
    <s v="Travel_Frequently"/>
    <n v="1422"/>
    <x v="0"/>
    <n v="2"/>
    <n v="4"/>
    <s v="Life Sciences"/>
    <n v="1"/>
    <n v="1849"/>
    <n v="1"/>
    <s v="Male"/>
    <n v="92"/>
    <n v="3"/>
    <n v="2"/>
    <x v="0"/>
    <n v="4"/>
    <s v="Married"/>
    <n v="5675"/>
    <n v="19246"/>
    <n v="1"/>
    <s v="Y"/>
    <x v="1"/>
    <n v="20"/>
    <n v="4"/>
    <n v="3"/>
    <n v="80"/>
    <n v="1"/>
    <n v="7"/>
    <n v="5"/>
    <n v="3"/>
    <n v="7"/>
    <n v="7"/>
    <n v="7"/>
    <n v="7"/>
    <x v="1"/>
    <x v="0"/>
    <x v="0"/>
  </r>
  <r>
    <n v="27"/>
    <x v="1"/>
    <s v="Travel_Frequently"/>
    <n v="1297"/>
    <x v="1"/>
    <n v="5"/>
    <n v="2"/>
    <s v="Life Sciences"/>
    <n v="1"/>
    <n v="1850"/>
    <n v="4"/>
    <s v="Female"/>
    <n v="53"/>
    <n v="3"/>
    <n v="1"/>
    <x v="2"/>
    <n v="4"/>
    <s v="Single"/>
    <n v="2379"/>
    <n v="19826"/>
    <n v="0"/>
    <s v="Y"/>
    <x v="0"/>
    <n v="14"/>
    <n v="3"/>
    <n v="3"/>
    <n v="80"/>
    <n v="0"/>
    <n v="6"/>
    <n v="3"/>
    <n v="2"/>
    <n v="5"/>
    <n v="4"/>
    <n v="0"/>
    <n v="2"/>
    <x v="1"/>
    <x v="2"/>
    <x v="1"/>
  </r>
  <r>
    <n v="29"/>
    <x v="1"/>
    <s v="Travel_Frequently"/>
    <n v="574"/>
    <x v="1"/>
    <n v="20"/>
    <n v="1"/>
    <s v="Medical"/>
    <n v="1"/>
    <n v="1852"/>
    <n v="4"/>
    <s v="Male"/>
    <n v="40"/>
    <n v="3"/>
    <n v="1"/>
    <x v="2"/>
    <n v="4"/>
    <s v="Married"/>
    <n v="3812"/>
    <n v="7003"/>
    <n v="1"/>
    <s v="Y"/>
    <x v="1"/>
    <n v="13"/>
    <n v="3"/>
    <n v="2"/>
    <n v="80"/>
    <n v="0"/>
    <n v="11"/>
    <n v="3"/>
    <n v="4"/>
    <n v="11"/>
    <n v="8"/>
    <n v="3"/>
    <n v="10"/>
    <x v="1"/>
    <x v="2"/>
    <x v="0"/>
  </r>
  <r>
    <n v="32"/>
    <x v="1"/>
    <s v="Travel_Frequently"/>
    <n v="1318"/>
    <x v="0"/>
    <n v="10"/>
    <n v="4"/>
    <s v="Marketing"/>
    <n v="1"/>
    <n v="1853"/>
    <n v="4"/>
    <s v="Male"/>
    <n v="79"/>
    <n v="3"/>
    <n v="2"/>
    <x v="0"/>
    <n v="4"/>
    <s v="Single"/>
    <n v="4648"/>
    <n v="26075"/>
    <n v="8"/>
    <s v="Y"/>
    <x v="1"/>
    <n v="13"/>
    <n v="3"/>
    <n v="3"/>
    <n v="80"/>
    <n v="0"/>
    <n v="4"/>
    <n v="2"/>
    <n v="4"/>
    <n v="0"/>
    <n v="0"/>
    <n v="0"/>
    <n v="0"/>
    <x v="1"/>
    <x v="1"/>
    <x v="0"/>
  </r>
  <r>
    <n v="42"/>
    <x v="1"/>
    <s v="Non-Travel"/>
    <n v="355"/>
    <x v="1"/>
    <n v="10"/>
    <n v="4"/>
    <s v="Technical Degree"/>
    <n v="1"/>
    <n v="1854"/>
    <n v="3"/>
    <s v="Male"/>
    <n v="38"/>
    <n v="3"/>
    <n v="1"/>
    <x v="1"/>
    <n v="3"/>
    <s v="Married"/>
    <n v="2936"/>
    <n v="6161"/>
    <n v="3"/>
    <s v="Y"/>
    <x v="1"/>
    <n v="22"/>
    <n v="4"/>
    <n v="2"/>
    <n v="80"/>
    <n v="2"/>
    <n v="10"/>
    <n v="1"/>
    <n v="2"/>
    <n v="6"/>
    <n v="3"/>
    <n v="3"/>
    <n v="3"/>
    <x v="1"/>
    <x v="0"/>
    <x v="1"/>
  </r>
  <r>
    <n v="47"/>
    <x v="1"/>
    <s v="Travel_Rarely"/>
    <n v="207"/>
    <x v="1"/>
    <n v="9"/>
    <n v="4"/>
    <s v="Life Sciences"/>
    <n v="1"/>
    <n v="1856"/>
    <n v="2"/>
    <s v="Female"/>
    <n v="64"/>
    <n v="3"/>
    <n v="1"/>
    <x v="2"/>
    <n v="3"/>
    <s v="Single"/>
    <n v="2105"/>
    <n v="5411"/>
    <n v="4"/>
    <s v="Y"/>
    <x v="1"/>
    <n v="12"/>
    <n v="3"/>
    <n v="3"/>
    <n v="80"/>
    <n v="0"/>
    <n v="7"/>
    <n v="2"/>
    <n v="3"/>
    <n v="2"/>
    <n v="2"/>
    <n v="2"/>
    <n v="0"/>
    <x v="1"/>
    <x v="0"/>
    <x v="1"/>
  </r>
  <r>
    <n v="46"/>
    <x v="1"/>
    <s v="Travel_Rarely"/>
    <n v="706"/>
    <x v="1"/>
    <n v="2"/>
    <n v="2"/>
    <s v="Life Sciences"/>
    <n v="1"/>
    <n v="1857"/>
    <n v="4"/>
    <s v="Male"/>
    <n v="82"/>
    <n v="3"/>
    <n v="3"/>
    <x v="3"/>
    <n v="4"/>
    <s v="Divorced"/>
    <n v="8578"/>
    <n v="19989"/>
    <n v="3"/>
    <s v="Y"/>
    <x v="1"/>
    <n v="14"/>
    <n v="3"/>
    <n v="3"/>
    <n v="80"/>
    <n v="1"/>
    <n v="12"/>
    <n v="4"/>
    <n v="2"/>
    <n v="9"/>
    <n v="8"/>
    <n v="4"/>
    <n v="7"/>
    <x v="1"/>
    <x v="0"/>
    <x v="2"/>
  </r>
  <r>
    <n v="28"/>
    <x v="1"/>
    <s v="Non-Travel"/>
    <n v="280"/>
    <x v="2"/>
    <n v="1"/>
    <n v="2"/>
    <s v="Life Sciences"/>
    <n v="1"/>
    <n v="1858"/>
    <n v="3"/>
    <s v="Male"/>
    <n v="43"/>
    <n v="3"/>
    <n v="1"/>
    <x v="8"/>
    <n v="4"/>
    <s v="Divorced"/>
    <n v="2706"/>
    <n v="10494"/>
    <n v="1"/>
    <s v="Y"/>
    <x v="1"/>
    <n v="15"/>
    <n v="3"/>
    <n v="2"/>
    <n v="80"/>
    <n v="1"/>
    <n v="3"/>
    <n v="2"/>
    <n v="3"/>
    <n v="3"/>
    <n v="2"/>
    <n v="2"/>
    <n v="2"/>
    <x v="1"/>
    <x v="2"/>
    <x v="1"/>
  </r>
  <r>
    <n v="29"/>
    <x v="1"/>
    <s v="Travel_Rarely"/>
    <n v="726"/>
    <x v="1"/>
    <n v="29"/>
    <n v="1"/>
    <s v="Life Sciences"/>
    <n v="1"/>
    <n v="1859"/>
    <n v="4"/>
    <s v="Male"/>
    <n v="93"/>
    <n v="1"/>
    <n v="2"/>
    <x v="4"/>
    <n v="3"/>
    <s v="Divorced"/>
    <n v="6384"/>
    <n v="21143"/>
    <n v="8"/>
    <s v="Y"/>
    <x v="1"/>
    <n v="17"/>
    <n v="3"/>
    <n v="4"/>
    <n v="80"/>
    <n v="2"/>
    <n v="11"/>
    <n v="3"/>
    <n v="3"/>
    <n v="7"/>
    <n v="0"/>
    <n v="1"/>
    <n v="6"/>
    <x v="1"/>
    <x v="2"/>
    <x v="0"/>
  </r>
  <r>
    <n v="42"/>
    <x v="1"/>
    <s v="Travel_Rarely"/>
    <n v="1142"/>
    <x v="1"/>
    <n v="8"/>
    <n v="3"/>
    <s v="Life Sciences"/>
    <n v="1"/>
    <n v="1860"/>
    <n v="4"/>
    <s v="Male"/>
    <n v="81"/>
    <n v="3"/>
    <n v="1"/>
    <x v="2"/>
    <n v="3"/>
    <s v="Single"/>
    <n v="3968"/>
    <n v="13624"/>
    <n v="4"/>
    <s v="Y"/>
    <x v="1"/>
    <n v="13"/>
    <n v="3"/>
    <n v="4"/>
    <n v="80"/>
    <n v="0"/>
    <n v="8"/>
    <n v="3"/>
    <n v="3"/>
    <n v="0"/>
    <n v="0"/>
    <n v="0"/>
    <n v="0"/>
    <x v="1"/>
    <x v="0"/>
    <x v="0"/>
  </r>
  <r>
    <n v="32"/>
    <x v="0"/>
    <s v="Travel_Rarely"/>
    <n v="414"/>
    <x v="0"/>
    <n v="2"/>
    <n v="4"/>
    <s v="Marketing"/>
    <n v="1"/>
    <n v="1862"/>
    <n v="3"/>
    <s v="Male"/>
    <n v="82"/>
    <n v="2"/>
    <n v="2"/>
    <x v="0"/>
    <n v="2"/>
    <s v="Single"/>
    <n v="9907"/>
    <n v="26186"/>
    <n v="7"/>
    <s v="Y"/>
    <x v="0"/>
    <n v="12"/>
    <n v="3"/>
    <n v="3"/>
    <n v="80"/>
    <n v="0"/>
    <n v="7"/>
    <n v="3"/>
    <n v="2"/>
    <n v="2"/>
    <n v="2"/>
    <n v="2"/>
    <n v="2"/>
    <x v="0"/>
    <x v="1"/>
    <x v="2"/>
  </r>
  <r>
    <n v="46"/>
    <x v="1"/>
    <s v="Travel_Rarely"/>
    <n v="1319"/>
    <x v="0"/>
    <n v="3"/>
    <n v="3"/>
    <s v="Technical Degree"/>
    <n v="1"/>
    <n v="1863"/>
    <n v="1"/>
    <s v="Female"/>
    <n v="45"/>
    <n v="4"/>
    <n v="4"/>
    <x v="0"/>
    <n v="1"/>
    <s v="Divorced"/>
    <n v="13225"/>
    <n v="7739"/>
    <n v="2"/>
    <s v="Y"/>
    <x v="1"/>
    <n v="12"/>
    <n v="3"/>
    <n v="4"/>
    <n v="80"/>
    <n v="1"/>
    <n v="25"/>
    <n v="5"/>
    <n v="3"/>
    <n v="19"/>
    <n v="17"/>
    <n v="2"/>
    <n v="8"/>
    <x v="1"/>
    <x v="0"/>
    <x v="2"/>
  </r>
  <r>
    <n v="27"/>
    <x v="1"/>
    <s v="Travel_Rarely"/>
    <n v="728"/>
    <x v="0"/>
    <n v="23"/>
    <n v="1"/>
    <s v="Medical"/>
    <n v="1"/>
    <n v="1864"/>
    <n v="2"/>
    <s v="Female"/>
    <n v="36"/>
    <n v="2"/>
    <n v="2"/>
    <x v="6"/>
    <n v="3"/>
    <s v="Married"/>
    <n v="3540"/>
    <n v="7018"/>
    <n v="1"/>
    <s v="Y"/>
    <x v="1"/>
    <n v="21"/>
    <n v="4"/>
    <n v="4"/>
    <n v="80"/>
    <n v="1"/>
    <n v="9"/>
    <n v="5"/>
    <n v="3"/>
    <n v="9"/>
    <n v="8"/>
    <n v="5"/>
    <n v="8"/>
    <x v="1"/>
    <x v="2"/>
    <x v="0"/>
  </r>
  <r>
    <n v="29"/>
    <x v="1"/>
    <s v="Travel_Rarely"/>
    <n v="352"/>
    <x v="2"/>
    <n v="6"/>
    <n v="1"/>
    <s v="Medical"/>
    <n v="1"/>
    <n v="1865"/>
    <n v="4"/>
    <s v="Male"/>
    <n v="87"/>
    <n v="2"/>
    <n v="1"/>
    <x v="8"/>
    <n v="2"/>
    <s v="Married"/>
    <n v="2804"/>
    <n v="15434"/>
    <n v="1"/>
    <s v="Y"/>
    <x v="1"/>
    <n v="11"/>
    <n v="3"/>
    <n v="4"/>
    <n v="80"/>
    <n v="0"/>
    <n v="1"/>
    <n v="3"/>
    <n v="3"/>
    <n v="1"/>
    <n v="0"/>
    <n v="0"/>
    <n v="0"/>
    <x v="1"/>
    <x v="2"/>
    <x v="1"/>
  </r>
  <r>
    <n v="43"/>
    <x v="1"/>
    <s v="Travel_Rarely"/>
    <n v="823"/>
    <x v="1"/>
    <n v="6"/>
    <n v="3"/>
    <s v="Medical"/>
    <n v="1"/>
    <n v="1866"/>
    <n v="1"/>
    <s v="Female"/>
    <n v="81"/>
    <n v="2"/>
    <n v="5"/>
    <x v="5"/>
    <n v="3"/>
    <s v="Married"/>
    <n v="19392"/>
    <n v="22539"/>
    <n v="7"/>
    <s v="Y"/>
    <x v="1"/>
    <n v="13"/>
    <n v="3"/>
    <n v="4"/>
    <n v="80"/>
    <n v="0"/>
    <n v="21"/>
    <n v="2"/>
    <n v="3"/>
    <n v="16"/>
    <n v="12"/>
    <n v="6"/>
    <n v="14"/>
    <x v="1"/>
    <x v="0"/>
    <x v="2"/>
  </r>
  <r>
    <n v="48"/>
    <x v="1"/>
    <s v="Travel_Rarely"/>
    <n v="1224"/>
    <x v="1"/>
    <n v="10"/>
    <n v="3"/>
    <s v="Life Sciences"/>
    <n v="1"/>
    <n v="1867"/>
    <n v="4"/>
    <s v="Male"/>
    <n v="91"/>
    <n v="2"/>
    <n v="5"/>
    <x v="7"/>
    <n v="2"/>
    <s v="Married"/>
    <n v="19665"/>
    <n v="13583"/>
    <n v="4"/>
    <s v="Y"/>
    <x v="1"/>
    <n v="12"/>
    <n v="3"/>
    <n v="4"/>
    <n v="80"/>
    <n v="0"/>
    <n v="29"/>
    <n v="3"/>
    <n v="3"/>
    <n v="22"/>
    <n v="10"/>
    <n v="12"/>
    <n v="9"/>
    <x v="1"/>
    <x v="0"/>
    <x v="2"/>
  </r>
  <r>
    <n v="29"/>
    <x v="0"/>
    <s v="Travel_Frequently"/>
    <n v="459"/>
    <x v="1"/>
    <n v="24"/>
    <n v="2"/>
    <s v="Life Sciences"/>
    <n v="1"/>
    <n v="1868"/>
    <n v="4"/>
    <s v="Male"/>
    <n v="73"/>
    <n v="2"/>
    <n v="1"/>
    <x v="1"/>
    <n v="4"/>
    <s v="Single"/>
    <n v="2439"/>
    <n v="14753"/>
    <n v="1"/>
    <s v="Y"/>
    <x v="0"/>
    <n v="24"/>
    <n v="4"/>
    <n v="2"/>
    <n v="80"/>
    <n v="0"/>
    <n v="1"/>
    <n v="3"/>
    <n v="2"/>
    <n v="1"/>
    <n v="0"/>
    <n v="1"/>
    <n v="0"/>
    <x v="0"/>
    <x v="2"/>
    <x v="1"/>
  </r>
  <r>
    <n v="46"/>
    <x v="0"/>
    <s v="Travel_Rarely"/>
    <n v="1254"/>
    <x v="0"/>
    <n v="10"/>
    <n v="3"/>
    <s v="Life Sciences"/>
    <n v="1"/>
    <n v="1869"/>
    <n v="3"/>
    <s v="Female"/>
    <n v="64"/>
    <n v="3"/>
    <n v="3"/>
    <x v="0"/>
    <n v="2"/>
    <s v="Married"/>
    <n v="7314"/>
    <n v="14011"/>
    <n v="5"/>
    <s v="Y"/>
    <x v="1"/>
    <n v="21"/>
    <n v="4"/>
    <n v="3"/>
    <n v="80"/>
    <n v="3"/>
    <n v="14"/>
    <n v="2"/>
    <n v="3"/>
    <n v="8"/>
    <n v="7"/>
    <n v="0"/>
    <n v="7"/>
    <x v="0"/>
    <x v="0"/>
    <x v="2"/>
  </r>
  <r>
    <n v="27"/>
    <x v="1"/>
    <s v="Travel_Frequently"/>
    <n v="1131"/>
    <x v="1"/>
    <n v="15"/>
    <n v="3"/>
    <s v="Life Sciences"/>
    <n v="1"/>
    <n v="1870"/>
    <n v="4"/>
    <s v="Female"/>
    <n v="77"/>
    <n v="2"/>
    <n v="1"/>
    <x v="1"/>
    <n v="1"/>
    <s v="Married"/>
    <n v="4774"/>
    <n v="23844"/>
    <n v="0"/>
    <s v="Y"/>
    <x v="1"/>
    <n v="19"/>
    <n v="3"/>
    <n v="4"/>
    <n v="80"/>
    <n v="1"/>
    <n v="8"/>
    <n v="2"/>
    <n v="2"/>
    <n v="7"/>
    <n v="6"/>
    <n v="7"/>
    <n v="3"/>
    <x v="1"/>
    <x v="2"/>
    <x v="0"/>
  </r>
  <r>
    <n v="39"/>
    <x v="1"/>
    <s v="Travel_Rarely"/>
    <n v="835"/>
    <x v="1"/>
    <n v="19"/>
    <n v="4"/>
    <s v="Other"/>
    <n v="1"/>
    <n v="1871"/>
    <n v="4"/>
    <s v="Male"/>
    <n v="41"/>
    <n v="3"/>
    <n v="2"/>
    <x v="1"/>
    <n v="4"/>
    <s v="Divorced"/>
    <n v="3902"/>
    <n v="5141"/>
    <n v="8"/>
    <s v="Y"/>
    <x v="1"/>
    <n v="14"/>
    <n v="3"/>
    <n v="2"/>
    <n v="80"/>
    <n v="3"/>
    <n v="7"/>
    <n v="2"/>
    <n v="3"/>
    <n v="2"/>
    <n v="2"/>
    <n v="2"/>
    <n v="2"/>
    <x v="1"/>
    <x v="1"/>
    <x v="0"/>
  </r>
  <r>
    <n v="55"/>
    <x v="1"/>
    <s v="Travel_Rarely"/>
    <n v="836"/>
    <x v="1"/>
    <n v="2"/>
    <n v="4"/>
    <s v="Technical Degree"/>
    <n v="1"/>
    <n v="1873"/>
    <n v="2"/>
    <s v="Male"/>
    <n v="98"/>
    <n v="2"/>
    <n v="1"/>
    <x v="1"/>
    <n v="4"/>
    <s v="Married"/>
    <n v="2662"/>
    <n v="7975"/>
    <n v="8"/>
    <s v="Y"/>
    <x v="1"/>
    <n v="20"/>
    <n v="4"/>
    <n v="2"/>
    <n v="80"/>
    <n v="1"/>
    <n v="19"/>
    <n v="2"/>
    <n v="4"/>
    <n v="5"/>
    <n v="2"/>
    <n v="0"/>
    <n v="4"/>
    <x v="1"/>
    <x v="3"/>
    <x v="1"/>
  </r>
  <r>
    <n v="28"/>
    <x v="1"/>
    <s v="Travel_Rarely"/>
    <n v="1172"/>
    <x v="0"/>
    <n v="3"/>
    <n v="3"/>
    <s v="Medical"/>
    <n v="1"/>
    <n v="1875"/>
    <n v="2"/>
    <s v="Female"/>
    <n v="78"/>
    <n v="3"/>
    <n v="1"/>
    <x v="6"/>
    <n v="2"/>
    <s v="Married"/>
    <n v="2856"/>
    <n v="3692"/>
    <n v="1"/>
    <s v="Y"/>
    <x v="1"/>
    <n v="19"/>
    <n v="3"/>
    <n v="4"/>
    <n v="80"/>
    <n v="1"/>
    <n v="1"/>
    <n v="3"/>
    <n v="3"/>
    <n v="1"/>
    <n v="0"/>
    <n v="0"/>
    <n v="0"/>
    <x v="1"/>
    <x v="2"/>
    <x v="1"/>
  </r>
  <r>
    <n v="30"/>
    <x v="0"/>
    <s v="Travel_Rarely"/>
    <n v="945"/>
    <x v="0"/>
    <n v="9"/>
    <n v="3"/>
    <s v="Medical"/>
    <n v="1"/>
    <n v="1876"/>
    <n v="2"/>
    <s v="Male"/>
    <n v="89"/>
    <n v="3"/>
    <n v="1"/>
    <x v="6"/>
    <n v="4"/>
    <s v="Single"/>
    <n v="1081"/>
    <n v="16019"/>
    <n v="1"/>
    <s v="Y"/>
    <x v="1"/>
    <n v="13"/>
    <n v="3"/>
    <n v="3"/>
    <n v="80"/>
    <n v="0"/>
    <n v="1"/>
    <n v="3"/>
    <n v="2"/>
    <n v="1"/>
    <n v="0"/>
    <n v="0"/>
    <n v="0"/>
    <x v="0"/>
    <x v="1"/>
    <x v="1"/>
  </r>
  <r>
    <n v="22"/>
    <x v="0"/>
    <s v="Travel_Rarely"/>
    <n v="391"/>
    <x v="1"/>
    <n v="7"/>
    <n v="1"/>
    <s v="Life Sciences"/>
    <n v="1"/>
    <n v="1878"/>
    <n v="4"/>
    <s v="Male"/>
    <n v="75"/>
    <n v="3"/>
    <n v="1"/>
    <x v="1"/>
    <n v="2"/>
    <s v="Single"/>
    <n v="2472"/>
    <n v="26092"/>
    <n v="1"/>
    <s v="Y"/>
    <x v="0"/>
    <n v="23"/>
    <n v="4"/>
    <n v="1"/>
    <n v="80"/>
    <n v="0"/>
    <n v="1"/>
    <n v="2"/>
    <n v="3"/>
    <n v="1"/>
    <n v="0"/>
    <n v="0"/>
    <n v="0"/>
    <x v="0"/>
    <x v="2"/>
    <x v="1"/>
  </r>
  <r>
    <n v="36"/>
    <x v="1"/>
    <s v="Travel_Rarely"/>
    <n v="1266"/>
    <x v="0"/>
    <n v="10"/>
    <n v="4"/>
    <s v="Technical Degree"/>
    <n v="1"/>
    <n v="1880"/>
    <n v="2"/>
    <s v="Female"/>
    <n v="63"/>
    <n v="2"/>
    <n v="2"/>
    <x v="0"/>
    <n v="3"/>
    <s v="Married"/>
    <n v="5673"/>
    <n v="6060"/>
    <n v="1"/>
    <s v="Y"/>
    <x v="0"/>
    <n v="13"/>
    <n v="3"/>
    <n v="1"/>
    <n v="80"/>
    <n v="1"/>
    <n v="10"/>
    <n v="4"/>
    <n v="3"/>
    <n v="10"/>
    <n v="9"/>
    <n v="1"/>
    <n v="7"/>
    <x v="1"/>
    <x v="1"/>
    <x v="0"/>
  </r>
  <r>
    <n v="31"/>
    <x v="1"/>
    <s v="Travel_Rarely"/>
    <n v="311"/>
    <x v="1"/>
    <n v="20"/>
    <n v="3"/>
    <s v="Life Sciences"/>
    <n v="1"/>
    <n v="1881"/>
    <n v="2"/>
    <s v="Male"/>
    <n v="89"/>
    <n v="3"/>
    <n v="2"/>
    <x v="2"/>
    <n v="3"/>
    <s v="Divorced"/>
    <n v="4197"/>
    <n v="18624"/>
    <n v="1"/>
    <s v="Y"/>
    <x v="1"/>
    <n v="11"/>
    <n v="3"/>
    <n v="1"/>
    <n v="80"/>
    <n v="1"/>
    <n v="10"/>
    <n v="2"/>
    <n v="3"/>
    <n v="10"/>
    <n v="8"/>
    <n v="0"/>
    <n v="2"/>
    <x v="1"/>
    <x v="1"/>
    <x v="0"/>
  </r>
  <r>
    <n v="34"/>
    <x v="1"/>
    <s v="Travel_Rarely"/>
    <n v="1480"/>
    <x v="0"/>
    <n v="4"/>
    <n v="3"/>
    <s v="Life Sciences"/>
    <n v="1"/>
    <n v="1882"/>
    <n v="3"/>
    <s v="Male"/>
    <n v="64"/>
    <n v="3"/>
    <n v="3"/>
    <x v="0"/>
    <n v="4"/>
    <s v="Married"/>
    <n v="9713"/>
    <n v="24444"/>
    <n v="2"/>
    <s v="Y"/>
    <x v="0"/>
    <n v="13"/>
    <n v="3"/>
    <n v="4"/>
    <n v="80"/>
    <n v="3"/>
    <n v="9"/>
    <n v="3"/>
    <n v="3"/>
    <n v="5"/>
    <n v="3"/>
    <n v="1"/>
    <n v="0"/>
    <x v="1"/>
    <x v="1"/>
    <x v="2"/>
  </r>
  <r>
    <n v="29"/>
    <x v="1"/>
    <s v="Travel_Rarely"/>
    <n v="592"/>
    <x v="1"/>
    <n v="7"/>
    <n v="3"/>
    <s v="Life Sciences"/>
    <n v="1"/>
    <n v="1883"/>
    <n v="4"/>
    <s v="Male"/>
    <n v="59"/>
    <n v="3"/>
    <n v="1"/>
    <x v="2"/>
    <n v="1"/>
    <s v="Single"/>
    <n v="2062"/>
    <n v="19384"/>
    <n v="3"/>
    <s v="Y"/>
    <x v="1"/>
    <n v="14"/>
    <n v="3"/>
    <n v="2"/>
    <n v="80"/>
    <n v="0"/>
    <n v="11"/>
    <n v="2"/>
    <n v="3"/>
    <n v="3"/>
    <n v="2"/>
    <n v="1"/>
    <n v="2"/>
    <x v="1"/>
    <x v="2"/>
    <x v="1"/>
  </r>
  <r>
    <n v="37"/>
    <x v="1"/>
    <s v="Travel_Rarely"/>
    <n v="783"/>
    <x v="1"/>
    <n v="7"/>
    <n v="4"/>
    <s v="Medical"/>
    <n v="1"/>
    <n v="1885"/>
    <n v="4"/>
    <s v="Male"/>
    <n v="78"/>
    <n v="3"/>
    <n v="2"/>
    <x v="1"/>
    <n v="1"/>
    <s v="Married"/>
    <n v="4284"/>
    <n v="13588"/>
    <n v="5"/>
    <s v="Y"/>
    <x v="0"/>
    <n v="22"/>
    <n v="4"/>
    <n v="3"/>
    <n v="80"/>
    <n v="1"/>
    <n v="16"/>
    <n v="2"/>
    <n v="3"/>
    <n v="5"/>
    <n v="3"/>
    <n v="0"/>
    <n v="4"/>
    <x v="1"/>
    <x v="1"/>
    <x v="0"/>
  </r>
  <r>
    <n v="35"/>
    <x v="1"/>
    <s v="Travel_Rarely"/>
    <n v="219"/>
    <x v="1"/>
    <n v="16"/>
    <n v="2"/>
    <s v="Other"/>
    <n v="1"/>
    <n v="1886"/>
    <n v="4"/>
    <s v="Female"/>
    <n v="44"/>
    <n v="2"/>
    <n v="2"/>
    <x v="3"/>
    <n v="2"/>
    <s v="Married"/>
    <n v="4788"/>
    <n v="25388"/>
    <n v="0"/>
    <s v="Y"/>
    <x v="0"/>
    <n v="11"/>
    <n v="3"/>
    <n v="4"/>
    <n v="80"/>
    <n v="0"/>
    <n v="4"/>
    <n v="2"/>
    <n v="3"/>
    <n v="3"/>
    <n v="2"/>
    <n v="0"/>
    <n v="2"/>
    <x v="1"/>
    <x v="1"/>
    <x v="0"/>
  </r>
  <r>
    <n v="45"/>
    <x v="1"/>
    <s v="Travel_Rarely"/>
    <n v="556"/>
    <x v="1"/>
    <n v="25"/>
    <n v="2"/>
    <s v="Life Sciences"/>
    <n v="1"/>
    <n v="1888"/>
    <n v="2"/>
    <s v="Female"/>
    <n v="93"/>
    <n v="2"/>
    <n v="2"/>
    <x v="3"/>
    <n v="4"/>
    <s v="Married"/>
    <n v="5906"/>
    <n v="23888"/>
    <n v="0"/>
    <s v="Y"/>
    <x v="1"/>
    <n v="13"/>
    <n v="3"/>
    <n v="4"/>
    <n v="80"/>
    <n v="2"/>
    <n v="10"/>
    <n v="2"/>
    <n v="2"/>
    <n v="9"/>
    <n v="8"/>
    <n v="3"/>
    <n v="8"/>
    <x v="1"/>
    <x v="0"/>
    <x v="0"/>
  </r>
  <r>
    <n v="36"/>
    <x v="1"/>
    <s v="Travel_Frequently"/>
    <n v="1213"/>
    <x v="2"/>
    <n v="2"/>
    <n v="1"/>
    <s v="Human Resources"/>
    <n v="1"/>
    <n v="1890"/>
    <n v="2"/>
    <s v="Male"/>
    <n v="94"/>
    <n v="2"/>
    <n v="2"/>
    <x v="8"/>
    <n v="4"/>
    <s v="Single"/>
    <n v="3886"/>
    <n v="4223"/>
    <n v="1"/>
    <s v="Y"/>
    <x v="1"/>
    <n v="21"/>
    <n v="4"/>
    <n v="4"/>
    <n v="80"/>
    <n v="0"/>
    <n v="10"/>
    <n v="2"/>
    <n v="2"/>
    <n v="10"/>
    <n v="1"/>
    <n v="0"/>
    <n v="8"/>
    <x v="1"/>
    <x v="1"/>
    <x v="0"/>
  </r>
  <r>
    <n v="40"/>
    <x v="1"/>
    <s v="Travel_Rarely"/>
    <n v="1137"/>
    <x v="1"/>
    <n v="1"/>
    <n v="4"/>
    <s v="Life Sciences"/>
    <n v="1"/>
    <n v="1892"/>
    <n v="1"/>
    <s v="Male"/>
    <n v="98"/>
    <n v="3"/>
    <n v="4"/>
    <x v="5"/>
    <n v="1"/>
    <s v="Divorced"/>
    <n v="16823"/>
    <n v="18991"/>
    <n v="2"/>
    <s v="Y"/>
    <x v="1"/>
    <n v="11"/>
    <n v="3"/>
    <n v="1"/>
    <n v="80"/>
    <n v="1"/>
    <n v="22"/>
    <n v="3"/>
    <n v="3"/>
    <n v="19"/>
    <n v="7"/>
    <n v="11"/>
    <n v="16"/>
    <x v="1"/>
    <x v="0"/>
    <x v="2"/>
  </r>
  <r>
    <n v="26"/>
    <x v="1"/>
    <s v="Travel_Rarely"/>
    <n v="482"/>
    <x v="1"/>
    <n v="1"/>
    <n v="2"/>
    <s v="Life Sciences"/>
    <n v="1"/>
    <n v="1893"/>
    <n v="2"/>
    <s v="Female"/>
    <n v="90"/>
    <n v="2"/>
    <n v="1"/>
    <x v="1"/>
    <n v="3"/>
    <s v="Married"/>
    <n v="2933"/>
    <n v="14908"/>
    <n v="1"/>
    <s v="Y"/>
    <x v="0"/>
    <n v="13"/>
    <n v="3"/>
    <n v="3"/>
    <n v="80"/>
    <n v="1"/>
    <n v="1"/>
    <n v="3"/>
    <n v="2"/>
    <n v="1"/>
    <n v="0"/>
    <n v="1"/>
    <n v="0"/>
    <x v="1"/>
    <x v="2"/>
    <x v="1"/>
  </r>
  <r>
    <n v="27"/>
    <x v="1"/>
    <s v="Travel_Rarely"/>
    <n v="511"/>
    <x v="0"/>
    <n v="2"/>
    <n v="2"/>
    <s v="Medical"/>
    <n v="1"/>
    <n v="1898"/>
    <n v="1"/>
    <s v="Female"/>
    <n v="89"/>
    <n v="4"/>
    <n v="2"/>
    <x v="0"/>
    <n v="3"/>
    <s v="Single"/>
    <n v="6500"/>
    <n v="26997"/>
    <n v="0"/>
    <s v="Y"/>
    <x v="1"/>
    <n v="14"/>
    <n v="3"/>
    <n v="2"/>
    <n v="80"/>
    <n v="0"/>
    <n v="9"/>
    <n v="5"/>
    <n v="2"/>
    <n v="8"/>
    <n v="7"/>
    <n v="0"/>
    <n v="7"/>
    <x v="1"/>
    <x v="2"/>
    <x v="0"/>
  </r>
  <r>
    <n v="48"/>
    <x v="1"/>
    <s v="Travel_Frequently"/>
    <n v="117"/>
    <x v="1"/>
    <n v="22"/>
    <n v="3"/>
    <s v="Medical"/>
    <n v="1"/>
    <n v="1900"/>
    <n v="4"/>
    <s v="Female"/>
    <n v="58"/>
    <n v="3"/>
    <n v="4"/>
    <x v="5"/>
    <n v="4"/>
    <s v="Divorced"/>
    <n v="17174"/>
    <n v="2437"/>
    <n v="3"/>
    <s v="Y"/>
    <x v="1"/>
    <n v="11"/>
    <n v="3"/>
    <n v="2"/>
    <n v="80"/>
    <n v="1"/>
    <n v="24"/>
    <n v="3"/>
    <n v="3"/>
    <n v="22"/>
    <n v="17"/>
    <n v="4"/>
    <n v="7"/>
    <x v="1"/>
    <x v="0"/>
    <x v="2"/>
  </r>
  <r>
    <n v="44"/>
    <x v="1"/>
    <s v="Travel_Rarely"/>
    <n v="170"/>
    <x v="1"/>
    <n v="1"/>
    <n v="4"/>
    <s v="Life Sciences"/>
    <n v="1"/>
    <n v="1903"/>
    <n v="2"/>
    <s v="Male"/>
    <n v="78"/>
    <n v="4"/>
    <n v="2"/>
    <x v="4"/>
    <n v="1"/>
    <s v="Married"/>
    <n v="5033"/>
    <n v="9364"/>
    <n v="2"/>
    <s v="Y"/>
    <x v="1"/>
    <n v="15"/>
    <n v="3"/>
    <n v="4"/>
    <n v="80"/>
    <n v="1"/>
    <n v="10"/>
    <n v="5"/>
    <n v="3"/>
    <n v="2"/>
    <n v="0"/>
    <n v="2"/>
    <n v="2"/>
    <x v="1"/>
    <x v="0"/>
    <x v="0"/>
  </r>
  <r>
    <n v="34"/>
    <x v="0"/>
    <s v="Non-Travel"/>
    <n v="967"/>
    <x v="1"/>
    <n v="16"/>
    <n v="4"/>
    <s v="Technical Degree"/>
    <n v="1"/>
    <n v="1905"/>
    <n v="4"/>
    <s v="Male"/>
    <n v="85"/>
    <n v="1"/>
    <n v="1"/>
    <x v="1"/>
    <n v="1"/>
    <s v="Married"/>
    <n v="2307"/>
    <n v="14460"/>
    <n v="1"/>
    <s v="Y"/>
    <x v="0"/>
    <n v="23"/>
    <n v="4"/>
    <n v="2"/>
    <n v="80"/>
    <n v="1"/>
    <n v="5"/>
    <n v="2"/>
    <n v="3"/>
    <n v="5"/>
    <n v="2"/>
    <n v="3"/>
    <n v="0"/>
    <x v="0"/>
    <x v="1"/>
    <x v="1"/>
  </r>
  <r>
    <n v="56"/>
    <x v="0"/>
    <s v="Travel_Rarely"/>
    <n v="1162"/>
    <x v="1"/>
    <n v="24"/>
    <n v="2"/>
    <s v="Life Sciences"/>
    <n v="1"/>
    <n v="1907"/>
    <n v="1"/>
    <s v="Male"/>
    <n v="97"/>
    <n v="3"/>
    <n v="1"/>
    <x v="2"/>
    <n v="4"/>
    <s v="Single"/>
    <n v="2587"/>
    <n v="10261"/>
    <n v="1"/>
    <s v="Y"/>
    <x v="1"/>
    <n v="16"/>
    <n v="3"/>
    <n v="4"/>
    <n v="80"/>
    <n v="0"/>
    <n v="5"/>
    <n v="3"/>
    <n v="3"/>
    <n v="4"/>
    <n v="2"/>
    <n v="1"/>
    <n v="0"/>
    <x v="0"/>
    <x v="3"/>
    <x v="1"/>
  </r>
  <r>
    <n v="36"/>
    <x v="1"/>
    <s v="Travel_Rarely"/>
    <n v="335"/>
    <x v="0"/>
    <n v="17"/>
    <n v="2"/>
    <s v="Marketing"/>
    <n v="1"/>
    <n v="1908"/>
    <n v="3"/>
    <s v="Male"/>
    <n v="33"/>
    <n v="2"/>
    <n v="2"/>
    <x v="0"/>
    <n v="2"/>
    <s v="Married"/>
    <n v="5507"/>
    <n v="16822"/>
    <n v="2"/>
    <s v="Y"/>
    <x v="1"/>
    <n v="16"/>
    <n v="3"/>
    <n v="3"/>
    <n v="80"/>
    <n v="2"/>
    <n v="12"/>
    <n v="1"/>
    <n v="1"/>
    <n v="4"/>
    <n v="2"/>
    <n v="1"/>
    <n v="3"/>
    <x v="1"/>
    <x v="1"/>
    <x v="0"/>
  </r>
  <r>
    <n v="41"/>
    <x v="1"/>
    <s v="Travel_Rarely"/>
    <n v="337"/>
    <x v="0"/>
    <n v="8"/>
    <n v="3"/>
    <s v="Marketing"/>
    <n v="1"/>
    <n v="1909"/>
    <n v="3"/>
    <s v="Female"/>
    <n v="54"/>
    <n v="3"/>
    <n v="2"/>
    <x v="0"/>
    <n v="2"/>
    <s v="Married"/>
    <n v="4393"/>
    <n v="26841"/>
    <n v="5"/>
    <s v="Y"/>
    <x v="1"/>
    <n v="21"/>
    <n v="4"/>
    <n v="3"/>
    <n v="80"/>
    <n v="1"/>
    <n v="14"/>
    <n v="3"/>
    <n v="3"/>
    <n v="5"/>
    <n v="4"/>
    <n v="1"/>
    <n v="4"/>
    <x v="1"/>
    <x v="0"/>
    <x v="0"/>
  </r>
  <r>
    <n v="42"/>
    <x v="1"/>
    <s v="Travel_Rarely"/>
    <n v="1396"/>
    <x v="1"/>
    <n v="6"/>
    <n v="3"/>
    <s v="Medical"/>
    <n v="1"/>
    <n v="1911"/>
    <n v="3"/>
    <s v="Male"/>
    <n v="83"/>
    <n v="3"/>
    <n v="3"/>
    <x v="7"/>
    <n v="1"/>
    <s v="Married"/>
    <n v="13348"/>
    <n v="14842"/>
    <n v="9"/>
    <s v="Y"/>
    <x v="1"/>
    <n v="13"/>
    <n v="3"/>
    <n v="2"/>
    <n v="80"/>
    <n v="1"/>
    <n v="18"/>
    <n v="3"/>
    <n v="4"/>
    <n v="13"/>
    <n v="7"/>
    <n v="5"/>
    <n v="7"/>
    <x v="1"/>
    <x v="0"/>
    <x v="2"/>
  </r>
  <r>
    <n v="31"/>
    <x v="1"/>
    <s v="Travel_Rarely"/>
    <n v="1079"/>
    <x v="0"/>
    <n v="10"/>
    <n v="2"/>
    <s v="Medical"/>
    <n v="1"/>
    <n v="1912"/>
    <n v="3"/>
    <s v="Female"/>
    <n v="86"/>
    <n v="3"/>
    <n v="2"/>
    <x v="0"/>
    <n v="4"/>
    <s v="Divorced"/>
    <n v="6583"/>
    <n v="20115"/>
    <n v="2"/>
    <s v="Y"/>
    <x v="0"/>
    <n v="11"/>
    <n v="3"/>
    <n v="4"/>
    <n v="80"/>
    <n v="1"/>
    <n v="8"/>
    <n v="2"/>
    <n v="3"/>
    <n v="5"/>
    <n v="2"/>
    <n v="1"/>
    <n v="4"/>
    <x v="1"/>
    <x v="1"/>
    <x v="0"/>
  </r>
  <r>
    <n v="34"/>
    <x v="1"/>
    <s v="Travel_Rarely"/>
    <n v="735"/>
    <x v="0"/>
    <n v="3"/>
    <n v="1"/>
    <s v="Medical"/>
    <n v="1"/>
    <n v="1915"/>
    <n v="4"/>
    <s v="Female"/>
    <n v="75"/>
    <n v="2"/>
    <n v="2"/>
    <x v="0"/>
    <n v="4"/>
    <s v="Married"/>
    <n v="8103"/>
    <n v="16495"/>
    <n v="3"/>
    <s v="Y"/>
    <x v="0"/>
    <n v="12"/>
    <n v="3"/>
    <n v="3"/>
    <n v="80"/>
    <n v="0"/>
    <n v="9"/>
    <n v="3"/>
    <n v="2"/>
    <n v="4"/>
    <n v="2"/>
    <n v="0"/>
    <n v="1"/>
    <x v="1"/>
    <x v="1"/>
    <x v="2"/>
  </r>
  <r>
    <n v="31"/>
    <x v="1"/>
    <s v="Travel_Rarely"/>
    <n v="471"/>
    <x v="1"/>
    <n v="4"/>
    <n v="3"/>
    <s v="Medical"/>
    <n v="1"/>
    <n v="1916"/>
    <n v="1"/>
    <s v="Female"/>
    <n v="62"/>
    <n v="4"/>
    <n v="1"/>
    <x v="2"/>
    <n v="3"/>
    <s v="Divorced"/>
    <n v="3978"/>
    <n v="16031"/>
    <n v="8"/>
    <s v="Y"/>
    <x v="1"/>
    <n v="12"/>
    <n v="3"/>
    <n v="2"/>
    <n v="80"/>
    <n v="1"/>
    <n v="4"/>
    <n v="0"/>
    <n v="2"/>
    <n v="2"/>
    <n v="2"/>
    <n v="2"/>
    <n v="2"/>
    <x v="1"/>
    <x v="1"/>
    <x v="0"/>
  </r>
  <r>
    <n v="26"/>
    <x v="1"/>
    <s v="Travel_Frequently"/>
    <n v="1096"/>
    <x v="1"/>
    <n v="6"/>
    <n v="3"/>
    <s v="Other"/>
    <n v="1"/>
    <n v="1918"/>
    <n v="3"/>
    <s v="Male"/>
    <n v="61"/>
    <n v="4"/>
    <n v="1"/>
    <x v="2"/>
    <n v="4"/>
    <s v="Married"/>
    <n v="2544"/>
    <n v="7102"/>
    <n v="0"/>
    <s v="Y"/>
    <x v="1"/>
    <n v="18"/>
    <n v="3"/>
    <n v="1"/>
    <n v="80"/>
    <n v="1"/>
    <n v="8"/>
    <n v="3"/>
    <n v="3"/>
    <n v="7"/>
    <n v="7"/>
    <n v="7"/>
    <n v="7"/>
    <x v="1"/>
    <x v="2"/>
    <x v="1"/>
  </r>
  <r>
    <n v="45"/>
    <x v="1"/>
    <s v="Travel_Frequently"/>
    <n v="1297"/>
    <x v="1"/>
    <n v="1"/>
    <n v="4"/>
    <s v="Medical"/>
    <n v="1"/>
    <n v="1922"/>
    <n v="2"/>
    <s v="Male"/>
    <n v="44"/>
    <n v="3"/>
    <n v="2"/>
    <x v="4"/>
    <n v="3"/>
    <s v="Single"/>
    <n v="5399"/>
    <n v="14511"/>
    <n v="4"/>
    <s v="Y"/>
    <x v="1"/>
    <n v="12"/>
    <n v="3"/>
    <n v="3"/>
    <n v="80"/>
    <n v="0"/>
    <n v="12"/>
    <n v="3"/>
    <n v="3"/>
    <n v="4"/>
    <n v="2"/>
    <n v="0"/>
    <n v="3"/>
    <x v="1"/>
    <x v="0"/>
    <x v="0"/>
  </r>
  <r>
    <n v="33"/>
    <x v="1"/>
    <s v="Travel_Rarely"/>
    <n v="217"/>
    <x v="0"/>
    <n v="10"/>
    <n v="4"/>
    <s v="Marketing"/>
    <n v="1"/>
    <n v="1924"/>
    <n v="2"/>
    <s v="Male"/>
    <n v="43"/>
    <n v="3"/>
    <n v="2"/>
    <x v="0"/>
    <n v="3"/>
    <s v="Single"/>
    <n v="5487"/>
    <n v="10410"/>
    <n v="1"/>
    <s v="Y"/>
    <x v="1"/>
    <n v="14"/>
    <n v="3"/>
    <n v="2"/>
    <n v="80"/>
    <n v="0"/>
    <n v="10"/>
    <n v="2"/>
    <n v="2"/>
    <n v="10"/>
    <n v="4"/>
    <n v="0"/>
    <n v="9"/>
    <x v="1"/>
    <x v="1"/>
    <x v="0"/>
  </r>
  <r>
    <n v="28"/>
    <x v="1"/>
    <s v="Travel_Frequently"/>
    <n v="783"/>
    <x v="0"/>
    <n v="1"/>
    <n v="2"/>
    <s v="Life Sciences"/>
    <n v="1"/>
    <n v="1927"/>
    <n v="3"/>
    <s v="Male"/>
    <n v="42"/>
    <n v="2"/>
    <n v="2"/>
    <x v="0"/>
    <n v="4"/>
    <s v="Married"/>
    <n v="6834"/>
    <n v="19255"/>
    <n v="1"/>
    <s v="Y"/>
    <x v="0"/>
    <n v="12"/>
    <n v="3"/>
    <n v="3"/>
    <n v="80"/>
    <n v="1"/>
    <n v="7"/>
    <n v="2"/>
    <n v="3"/>
    <n v="7"/>
    <n v="7"/>
    <n v="0"/>
    <n v="7"/>
    <x v="1"/>
    <x v="2"/>
    <x v="0"/>
  </r>
  <r>
    <n v="29"/>
    <x v="0"/>
    <s v="Travel_Frequently"/>
    <n v="746"/>
    <x v="0"/>
    <n v="24"/>
    <n v="3"/>
    <s v="Technical Degree"/>
    <n v="1"/>
    <n v="1928"/>
    <n v="3"/>
    <s v="Male"/>
    <n v="45"/>
    <n v="4"/>
    <n v="1"/>
    <x v="6"/>
    <n v="1"/>
    <s v="Single"/>
    <n v="1091"/>
    <n v="10642"/>
    <n v="1"/>
    <s v="Y"/>
    <x v="1"/>
    <n v="17"/>
    <n v="3"/>
    <n v="4"/>
    <n v="80"/>
    <n v="0"/>
    <n v="1"/>
    <n v="3"/>
    <n v="3"/>
    <n v="1"/>
    <n v="0"/>
    <n v="0"/>
    <n v="0"/>
    <x v="0"/>
    <x v="2"/>
    <x v="1"/>
  </r>
  <r>
    <n v="39"/>
    <x v="1"/>
    <s v="Non-Travel"/>
    <n v="1251"/>
    <x v="0"/>
    <n v="21"/>
    <n v="4"/>
    <s v="Life Sciences"/>
    <n v="1"/>
    <n v="1929"/>
    <n v="1"/>
    <s v="Female"/>
    <n v="32"/>
    <n v="1"/>
    <n v="2"/>
    <x v="0"/>
    <n v="3"/>
    <s v="Married"/>
    <n v="5736"/>
    <n v="3987"/>
    <n v="6"/>
    <s v="Y"/>
    <x v="1"/>
    <n v="19"/>
    <n v="3"/>
    <n v="3"/>
    <n v="80"/>
    <n v="1"/>
    <n v="10"/>
    <n v="1"/>
    <n v="3"/>
    <n v="3"/>
    <n v="2"/>
    <n v="1"/>
    <n v="2"/>
    <x v="1"/>
    <x v="1"/>
    <x v="0"/>
  </r>
  <r>
    <n v="27"/>
    <x v="1"/>
    <s v="Travel_Rarely"/>
    <n v="1354"/>
    <x v="1"/>
    <n v="2"/>
    <n v="4"/>
    <s v="Technical Degree"/>
    <n v="1"/>
    <n v="1931"/>
    <n v="2"/>
    <s v="Male"/>
    <n v="41"/>
    <n v="3"/>
    <n v="1"/>
    <x v="1"/>
    <n v="2"/>
    <s v="Married"/>
    <n v="2226"/>
    <n v="6073"/>
    <n v="1"/>
    <s v="Y"/>
    <x v="1"/>
    <n v="11"/>
    <n v="3"/>
    <n v="3"/>
    <n v="80"/>
    <n v="1"/>
    <n v="6"/>
    <n v="3"/>
    <n v="2"/>
    <n v="5"/>
    <n v="3"/>
    <n v="1"/>
    <n v="2"/>
    <x v="1"/>
    <x v="2"/>
    <x v="1"/>
  </r>
  <r>
    <n v="34"/>
    <x v="1"/>
    <s v="Travel_Frequently"/>
    <n v="735"/>
    <x v="1"/>
    <n v="22"/>
    <n v="4"/>
    <s v="Other"/>
    <n v="1"/>
    <n v="1932"/>
    <n v="3"/>
    <s v="Male"/>
    <n v="86"/>
    <n v="2"/>
    <n v="2"/>
    <x v="1"/>
    <n v="4"/>
    <s v="Married"/>
    <n v="5747"/>
    <n v="26496"/>
    <n v="1"/>
    <s v="Y"/>
    <x v="0"/>
    <n v="15"/>
    <n v="3"/>
    <n v="2"/>
    <n v="80"/>
    <n v="0"/>
    <n v="16"/>
    <n v="3"/>
    <n v="3"/>
    <n v="15"/>
    <n v="10"/>
    <n v="6"/>
    <n v="11"/>
    <x v="1"/>
    <x v="1"/>
    <x v="0"/>
  </r>
  <r>
    <n v="28"/>
    <x v="0"/>
    <s v="Travel_Rarely"/>
    <n v="1475"/>
    <x v="0"/>
    <n v="13"/>
    <n v="2"/>
    <s v="Marketing"/>
    <n v="1"/>
    <n v="1933"/>
    <n v="4"/>
    <s v="Female"/>
    <n v="84"/>
    <n v="3"/>
    <n v="2"/>
    <x v="0"/>
    <n v="3"/>
    <s v="Single"/>
    <n v="9854"/>
    <n v="23352"/>
    <n v="3"/>
    <s v="Y"/>
    <x v="0"/>
    <n v="11"/>
    <n v="3"/>
    <n v="4"/>
    <n v="80"/>
    <n v="0"/>
    <n v="6"/>
    <n v="0"/>
    <n v="3"/>
    <n v="2"/>
    <n v="0"/>
    <n v="2"/>
    <n v="2"/>
    <x v="0"/>
    <x v="2"/>
    <x v="2"/>
  </r>
  <r>
    <n v="47"/>
    <x v="1"/>
    <s v="Non-Travel"/>
    <n v="1169"/>
    <x v="1"/>
    <n v="14"/>
    <n v="4"/>
    <s v="Technical Degree"/>
    <n v="1"/>
    <n v="1934"/>
    <n v="3"/>
    <s v="Male"/>
    <n v="64"/>
    <n v="3"/>
    <n v="2"/>
    <x v="1"/>
    <n v="2"/>
    <s v="Married"/>
    <n v="5467"/>
    <n v="2125"/>
    <n v="8"/>
    <s v="Y"/>
    <x v="1"/>
    <n v="18"/>
    <n v="3"/>
    <n v="3"/>
    <n v="80"/>
    <n v="1"/>
    <n v="16"/>
    <n v="4"/>
    <n v="4"/>
    <n v="8"/>
    <n v="7"/>
    <n v="1"/>
    <n v="7"/>
    <x v="1"/>
    <x v="0"/>
    <x v="0"/>
  </r>
  <r>
    <n v="56"/>
    <x v="1"/>
    <s v="Travel_Rarely"/>
    <n v="1443"/>
    <x v="0"/>
    <n v="11"/>
    <n v="5"/>
    <s v="Marketing"/>
    <n v="1"/>
    <n v="1935"/>
    <n v="4"/>
    <s v="Female"/>
    <n v="89"/>
    <n v="2"/>
    <n v="2"/>
    <x v="0"/>
    <n v="1"/>
    <s v="Married"/>
    <n v="5380"/>
    <n v="20328"/>
    <n v="4"/>
    <s v="Y"/>
    <x v="1"/>
    <n v="16"/>
    <n v="3"/>
    <n v="3"/>
    <n v="80"/>
    <n v="1"/>
    <n v="6"/>
    <n v="3"/>
    <n v="3"/>
    <n v="0"/>
    <n v="0"/>
    <n v="0"/>
    <n v="0"/>
    <x v="1"/>
    <x v="3"/>
    <x v="0"/>
  </r>
  <r>
    <n v="39"/>
    <x v="1"/>
    <s v="Travel_Rarely"/>
    <n v="867"/>
    <x v="1"/>
    <n v="9"/>
    <n v="2"/>
    <s v="Medical"/>
    <n v="1"/>
    <n v="1936"/>
    <n v="1"/>
    <s v="Male"/>
    <n v="87"/>
    <n v="3"/>
    <n v="2"/>
    <x v="3"/>
    <n v="1"/>
    <s v="Married"/>
    <n v="5151"/>
    <n v="12315"/>
    <n v="1"/>
    <s v="Y"/>
    <x v="1"/>
    <n v="25"/>
    <n v="4"/>
    <n v="4"/>
    <n v="80"/>
    <n v="1"/>
    <n v="10"/>
    <n v="3"/>
    <n v="3"/>
    <n v="10"/>
    <n v="0"/>
    <n v="7"/>
    <n v="9"/>
    <x v="1"/>
    <x v="1"/>
    <x v="0"/>
  </r>
  <r>
    <n v="38"/>
    <x v="1"/>
    <s v="Travel_Frequently"/>
    <n v="1394"/>
    <x v="1"/>
    <n v="8"/>
    <n v="3"/>
    <s v="Medical"/>
    <n v="1"/>
    <n v="1937"/>
    <n v="4"/>
    <s v="Female"/>
    <n v="58"/>
    <n v="2"/>
    <n v="2"/>
    <x v="1"/>
    <n v="2"/>
    <s v="Divorced"/>
    <n v="2133"/>
    <n v="18115"/>
    <n v="1"/>
    <s v="Y"/>
    <x v="0"/>
    <n v="16"/>
    <n v="3"/>
    <n v="3"/>
    <n v="80"/>
    <n v="1"/>
    <n v="20"/>
    <n v="3"/>
    <n v="3"/>
    <n v="20"/>
    <n v="11"/>
    <n v="0"/>
    <n v="7"/>
    <x v="1"/>
    <x v="1"/>
    <x v="1"/>
  </r>
  <r>
    <n v="58"/>
    <x v="1"/>
    <s v="Travel_Rarely"/>
    <n v="605"/>
    <x v="0"/>
    <n v="21"/>
    <n v="3"/>
    <s v="Life Sciences"/>
    <n v="1"/>
    <n v="1938"/>
    <n v="4"/>
    <s v="Female"/>
    <n v="72"/>
    <n v="3"/>
    <n v="4"/>
    <x v="5"/>
    <n v="4"/>
    <s v="Married"/>
    <n v="17875"/>
    <n v="11761"/>
    <n v="4"/>
    <s v="Y"/>
    <x v="0"/>
    <n v="13"/>
    <n v="3"/>
    <n v="3"/>
    <n v="80"/>
    <n v="1"/>
    <n v="29"/>
    <n v="2"/>
    <n v="2"/>
    <n v="1"/>
    <n v="0"/>
    <n v="0"/>
    <n v="0"/>
    <x v="1"/>
    <x v="3"/>
    <x v="2"/>
  </r>
  <r>
    <n v="32"/>
    <x v="0"/>
    <s v="Travel_Frequently"/>
    <n v="238"/>
    <x v="1"/>
    <n v="5"/>
    <n v="2"/>
    <s v="Life Sciences"/>
    <n v="1"/>
    <n v="1939"/>
    <n v="1"/>
    <s v="Female"/>
    <n v="47"/>
    <n v="4"/>
    <n v="1"/>
    <x v="1"/>
    <n v="3"/>
    <s v="Single"/>
    <n v="2432"/>
    <n v="15318"/>
    <n v="3"/>
    <s v="Y"/>
    <x v="0"/>
    <n v="14"/>
    <n v="3"/>
    <n v="1"/>
    <n v="80"/>
    <n v="0"/>
    <n v="8"/>
    <n v="2"/>
    <n v="3"/>
    <n v="4"/>
    <n v="1"/>
    <n v="0"/>
    <n v="3"/>
    <x v="0"/>
    <x v="1"/>
    <x v="1"/>
  </r>
  <r>
    <n v="38"/>
    <x v="1"/>
    <s v="Travel_Rarely"/>
    <n v="1206"/>
    <x v="1"/>
    <n v="9"/>
    <n v="2"/>
    <s v="Life Sciences"/>
    <n v="1"/>
    <n v="1940"/>
    <n v="2"/>
    <s v="Male"/>
    <n v="71"/>
    <n v="3"/>
    <n v="1"/>
    <x v="1"/>
    <n v="4"/>
    <s v="Divorced"/>
    <n v="4771"/>
    <n v="14293"/>
    <n v="2"/>
    <s v="Y"/>
    <x v="1"/>
    <n v="19"/>
    <n v="3"/>
    <n v="4"/>
    <n v="80"/>
    <n v="2"/>
    <n v="10"/>
    <n v="0"/>
    <n v="4"/>
    <n v="5"/>
    <n v="2"/>
    <n v="0"/>
    <n v="3"/>
    <x v="1"/>
    <x v="1"/>
    <x v="0"/>
  </r>
  <r>
    <n v="49"/>
    <x v="1"/>
    <s v="Travel_Frequently"/>
    <n v="1064"/>
    <x v="1"/>
    <n v="2"/>
    <n v="1"/>
    <s v="Life Sciences"/>
    <n v="1"/>
    <n v="1941"/>
    <n v="2"/>
    <s v="Male"/>
    <n v="42"/>
    <n v="3"/>
    <n v="5"/>
    <x v="7"/>
    <n v="4"/>
    <s v="Married"/>
    <n v="19161"/>
    <n v="13738"/>
    <n v="3"/>
    <s v="Y"/>
    <x v="1"/>
    <n v="15"/>
    <n v="3"/>
    <n v="4"/>
    <n v="80"/>
    <n v="0"/>
    <n v="28"/>
    <n v="3"/>
    <n v="3"/>
    <n v="5"/>
    <n v="4"/>
    <n v="4"/>
    <n v="3"/>
    <x v="1"/>
    <x v="0"/>
    <x v="2"/>
  </r>
  <r>
    <n v="42"/>
    <x v="1"/>
    <s v="Travel_Rarely"/>
    <n v="419"/>
    <x v="0"/>
    <n v="12"/>
    <n v="4"/>
    <s v="Marketing"/>
    <n v="1"/>
    <n v="1943"/>
    <n v="2"/>
    <s v="Male"/>
    <n v="77"/>
    <n v="3"/>
    <n v="2"/>
    <x v="0"/>
    <n v="4"/>
    <s v="Divorced"/>
    <n v="5087"/>
    <n v="2900"/>
    <n v="3"/>
    <s v="Y"/>
    <x v="0"/>
    <n v="12"/>
    <n v="3"/>
    <n v="3"/>
    <n v="80"/>
    <n v="2"/>
    <n v="14"/>
    <n v="4"/>
    <n v="3"/>
    <n v="0"/>
    <n v="0"/>
    <n v="0"/>
    <n v="0"/>
    <x v="1"/>
    <x v="0"/>
    <x v="0"/>
  </r>
  <r>
    <n v="27"/>
    <x v="0"/>
    <s v="Travel_Frequently"/>
    <n v="1337"/>
    <x v="2"/>
    <n v="22"/>
    <n v="3"/>
    <s v="Human Resources"/>
    <n v="1"/>
    <n v="1944"/>
    <n v="1"/>
    <s v="Female"/>
    <n v="58"/>
    <n v="2"/>
    <n v="1"/>
    <x v="8"/>
    <n v="2"/>
    <s v="Married"/>
    <n v="2863"/>
    <n v="19555"/>
    <n v="1"/>
    <s v="Y"/>
    <x v="1"/>
    <n v="12"/>
    <n v="3"/>
    <n v="1"/>
    <n v="80"/>
    <n v="0"/>
    <n v="1"/>
    <n v="2"/>
    <n v="3"/>
    <n v="1"/>
    <n v="0"/>
    <n v="0"/>
    <n v="0"/>
    <x v="0"/>
    <x v="2"/>
    <x v="1"/>
  </r>
  <r>
    <n v="35"/>
    <x v="1"/>
    <s v="Travel_Rarely"/>
    <n v="682"/>
    <x v="0"/>
    <n v="18"/>
    <n v="4"/>
    <s v="Medical"/>
    <n v="1"/>
    <n v="1945"/>
    <n v="2"/>
    <s v="Male"/>
    <n v="71"/>
    <n v="3"/>
    <n v="2"/>
    <x v="0"/>
    <n v="1"/>
    <s v="Married"/>
    <n v="5561"/>
    <n v="15975"/>
    <n v="0"/>
    <s v="Y"/>
    <x v="1"/>
    <n v="16"/>
    <n v="3"/>
    <n v="4"/>
    <n v="80"/>
    <n v="1"/>
    <n v="6"/>
    <n v="2"/>
    <n v="1"/>
    <n v="5"/>
    <n v="3"/>
    <n v="0"/>
    <n v="4"/>
    <x v="1"/>
    <x v="1"/>
    <x v="0"/>
  </r>
  <r>
    <n v="28"/>
    <x v="1"/>
    <s v="Non-Travel"/>
    <n v="1103"/>
    <x v="1"/>
    <n v="16"/>
    <n v="3"/>
    <s v="Medical"/>
    <n v="1"/>
    <n v="1947"/>
    <n v="3"/>
    <s v="Male"/>
    <n v="49"/>
    <n v="3"/>
    <n v="1"/>
    <x v="1"/>
    <n v="3"/>
    <s v="Single"/>
    <n v="2144"/>
    <n v="2122"/>
    <n v="1"/>
    <s v="Y"/>
    <x v="1"/>
    <n v="14"/>
    <n v="3"/>
    <n v="3"/>
    <n v="80"/>
    <n v="0"/>
    <n v="5"/>
    <n v="3"/>
    <n v="2"/>
    <n v="5"/>
    <n v="3"/>
    <n v="1"/>
    <n v="4"/>
    <x v="1"/>
    <x v="2"/>
    <x v="1"/>
  </r>
  <r>
    <n v="31"/>
    <x v="1"/>
    <s v="Non-Travel"/>
    <n v="976"/>
    <x v="1"/>
    <n v="3"/>
    <n v="2"/>
    <s v="Medical"/>
    <n v="1"/>
    <n v="1948"/>
    <n v="3"/>
    <s v="Male"/>
    <n v="48"/>
    <n v="3"/>
    <n v="1"/>
    <x v="1"/>
    <n v="1"/>
    <s v="Divorced"/>
    <n v="3065"/>
    <n v="3995"/>
    <n v="1"/>
    <s v="Y"/>
    <x v="0"/>
    <n v="13"/>
    <n v="3"/>
    <n v="4"/>
    <n v="80"/>
    <n v="1"/>
    <n v="4"/>
    <n v="3"/>
    <n v="4"/>
    <n v="4"/>
    <n v="2"/>
    <n v="2"/>
    <n v="3"/>
    <x v="1"/>
    <x v="1"/>
    <x v="0"/>
  </r>
  <r>
    <n v="36"/>
    <x v="1"/>
    <s v="Non-Travel"/>
    <n v="1351"/>
    <x v="1"/>
    <n v="9"/>
    <n v="4"/>
    <s v="Life Sciences"/>
    <n v="1"/>
    <n v="1949"/>
    <n v="1"/>
    <s v="Male"/>
    <n v="66"/>
    <n v="4"/>
    <n v="1"/>
    <x v="2"/>
    <n v="2"/>
    <s v="Married"/>
    <n v="2810"/>
    <n v="9238"/>
    <n v="1"/>
    <s v="Y"/>
    <x v="1"/>
    <n v="22"/>
    <n v="4"/>
    <n v="2"/>
    <n v="80"/>
    <n v="0"/>
    <n v="5"/>
    <n v="3"/>
    <n v="3"/>
    <n v="5"/>
    <n v="4"/>
    <n v="0"/>
    <n v="2"/>
    <x v="1"/>
    <x v="1"/>
    <x v="1"/>
  </r>
  <r>
    <n v="34"/>
    <x v="1"/>
    <s v="Travel_Rarely"/>
    <n v="937"/>
    <x v="0"/>
    <n v="1"/>
    <n v="3"/>
    <s v="Marketing"/>
    <n v="1"/>
    <n v="1950"/>
    <n v="1"/>
    <s v="Male"/>
    <n v="32"/>
    <n v="3"/>
    <n v="3"/>
    <x v="0"/>
    <n v="4"/>
    <s v="Single"/>
    <n v="9888"/>
    <n v="6770"/>
    <n v="1"/>
    <s v="Y"/>
    <x v="1"/>
    <n v="21"/>
    <n v="4"/>
    <n v="1"/>
    <n v="80"/>
    <n v="0"/>
    <n v="14"/>
    <n v="3"/>
    <n v="2"/>
    <n v="14"/>
    <n v="8"/>
    <n v="2"/>
    <n v="1"/>
    <x v="1"/>
    <x v="1"/>
    <x v="2"/>
  </r>
  <r>
    <n v="34"/>
    <x v="1"/>
    <s v="Travel_Rarely"/>
    <n v="1239"/>
    <x v="0"/>
    <n v="13"/>
    <n v="4"/>
    <s v="Medical"/>
    <n v="1"/>
    <n v="1951"/>
    <n v="4"/>
    <s v="Male"/>
    <n v="39"/>
    <n v="3"/>
    <n v="3"/>
    <x v="0"/>
    <n v="3"/>
    <s v="Divorced"/>
    <n v="8628"/>
    <n v="22914"/>
    <n v="1"/>
    <s v="Y"/>
    <x v="1"/>
    <n v="18"/>
    <n v="3"/>
    <n v="3"/>
    <n v="80"/>
    <n v="1"/>
    <n v="9"/>
    <n v="2"/>
    <n v="2"/>
    <n v="8"/>
    <n v="7"/>
    <n v="1"/>
    <n v="1"/>
    <x v="1"/>
    <x v="1"/>
    <x v="2"/>
  </r>
  <r>
    <n v="26"/>
    <x v="1"/>
    <s v="Travel_Rarely"/>
    <n v="157"/>
    <x v="1"/>
    <n v="1"/>
    <n v="3"/>
    <s v="Medical"/>
    <n v="1"/>
    <n v="1952"/>
    <n v="3"/>
    <s v="Male"/>
    <n v="95"/>
    <n v="3"/>
    <n v="1"/>
    <x v="2"/>
    <n v="1"/>
    <s v="Single"/>
    <n v="2867"/>
    <n v="20006"/>
    <n v="0"/>
    <s v="Y"/>
    <x v="1"/>
    <n v="13"/>
    <n v="3"/>
    <n v="4"/>
    <n v="80"/>
    <n v="0"/>
    <n v="8"/>
    <n v="6"/>
    <n v="2"/>
    <n v="7"/>
    <n v="7"/>
    <n v="7"/>
    <n v="6"/>
    <x v="1"/>
    <x v="2"/>
    <x v="1"/>
  </r>
  <r>
    <n v="29"/>
    <x v="1"/>
    <s v="Travel_Rarely"/>
    <n v="136"/>
    <x v="1"/>
    <n v="1"/>
    <n v="3"/>
    <s v="Life Sciences"/>
    <n v="1"/>
    <n v="1954"/>
    <n v="1"/>
    <s v="Male"/>
    <n v="89"/>
    <n v="3"/>
    <n v="2"/>
    <x v="4"/>
    <n v="1"/>
    <s v="Married"/>
    <n v="5373"/>
    <n v="6225"/>
    <n v="0"/>
    <s v="Y"/>
    <x v="1"/>
    <n v="12"/>
    <n v="3"/>
    <n v="1"/>
    <n v="80"/>
    <n v="1"/>
    <n v="6"/>
    <n v="5"/>
    <n v="2"/>
    <n v="5"/>
    <n v="3"/>
    <n v="0"/>
    <n v="2"/>
    <x v="1"/>
    <x v="2"/>
    <x v="0"/>
  </r>
  <r>
    <n v="32"/>
    <x v="1"/>
    <s v="Non-Travel"/>
    <n v="1146"/>
    <x v="1"/>
    <n v="15"/>
    <n v="4"/>
    <s v="Medical"/>
    <n v="1"/>
    <n v="1955"/>
    <n v="3"/>
    <s v="Female"/>
    <n v="34"/>
    <n v="3"/>
    <n v="2"/>
    <x v="4"/>
    <n v="4"/>
    <s v="Divorced"/>
    <n v="6667"/>
    <n v="16542"/>
    <n v="5"/>
    <s v="Y"/>
    <x v="1"/>
    <n v="18"/>
    <n v="3"/>
    <n v="2"/>
    <n v="80"/>
    <n v="1"/>
    <n v="9"/>
    <n v="6"/>
    <n v="3"/>
    <n v="5"/>
    <n v="1"/>
    <n v="1"/>
    <n v="2"/>
    <x v="1"/>
    <x v="1"/>
    <x v="0"/>
  </r>
  <r>
    <n v="31"/>
    <x v="1"/>
    <s v="Travel_Frequently"/>
    <n v="1125"/>
    <x v="1"/>
    <n v="1"/>
    <n v="3"/>
    <s v="Life Sciences"/>
    <n v="1"/>
    <n v="1956"/>
    <n v="4"/>
    <s v="Male"/>
    <n v="48"/>
    <n v="1"/>
    <n v="2"/>
    <x v="1"/>
    <n v="1"/>
    <s v="Married"/>
    <n v="5003"/>
    <n v="5771"/>
    <n v="1"/>
    <s v="Y"/>
    <x v="1"/>
    <n v="21"/>
    <n v="4"/>
    <n v="2"/>
    <n v="80"/>
    <n v="0"/>
    <n v="10"/>
    <n v="6"/>
    <n v="3"/>
    <n v="10"/>
    <n v="8"/>
    <n v="8"/>
    <n v="7"/>
    <x v="1"/>
    <x v="1"/>
    <x v="0"/>
  </r>
  <r>
    <n v="28"/>
    <x v="0"/>
    <s v="Travel_Rarely"/>
    <n v="1404"/>
    <x v="1"/>
    <n v="17"/>
    <n v="3"/>
    <s v="Technical Degree"/>
    <n v="1"/>
    <n v="1960"/>
    <n v="3"/>
    <s v="Male"/>
    <n v="32"/>
    <n v="2"/>
    <n v="1"/>
    <x v="2"/>
    <n v="4"/>
    <s v="Divorced"/>
    <n v="2367"/>
    <n v="18779"/>
    <n v="5"/>
    <s v="Y"/>
    <x v="1"/>
    <n v="12"/>
    <n v="3"/>
    <n v="1"/>
    <n v="80"/>
    <n v="1"/>
    <n v="6"/>
    <n v="2"/>
    <n v="2"/>
    <n v="4"/>
    <n v="1"/>
    <n v="0"/>
    <n v="3"/>
    <x v="0"/>
    <x v="2"/>
    <x v="1"/>
  </r>
  <r>
    <n v="38"/>
    <x v="1"/>
    <s v="Travel_Rarely"/>
    <n v="1404"/>
    <x v="0"/>
    <n v="1"/>
    <n v="3"/>
    <s v="Life Sciences"/>
    <n v="1"/>
    <n v="1961"/>
    <n v="1"/>
    <s v="Male"/>
    <n v="59"/>
    <n v="2"/>
    <n v="1"/>
    <x v="6"/>
    <n v="1"/>
    <s v="Single"/>
    <n v="2858"/>
    <n v="11473"/>
    <n v="4"/>
    <s v="Y"/>
    <x v="1"/>
    <n v="14"/>
    <n v="3"/>
    <n v="1"/>
    <n v="80"/>
    <n v="0"/>
    <n v="20"/>
    <n v="3"/>
    <n v="2"/>
    <n v="1"/>
    <n v="0"/>
    <n v="0"/>
    <n v="0"/>
    <x v="1"/>
    <x v="1"/>
    <x v="1"/>
  </r>
  <r>
    <n v="35"/>
    <x v="1"/>
    <s v="Travel_Rarely"/>
    <n v="1224"/>
    <x v="0"/>
    <n v="7"/>
    <n v="4"/>
    <s v="Life Sciences"/>
    <n v="1"/>
    <n v="1962"/>
    <n v="3"/>
    <s v="Female"/>
    <n v="55"/>
    <n v="3"/>
    <n v="2"/>
    <x v="0"/>
    <n v="4"/>
    <s v="Married"/>
    <n v="5204"/>
    <n v="13586"/>
    <n v="1"/>
    <s v="Y"/>
    <x v="0"/>
    <n v="11"/>
    <n v="3"/>
    <n v="4"/>
    <n v="80"/>
    <n v="0"/>
    <n v="10"/>
    <n v="2"/>
    <n v="3"/>
    <n v="10"/>
    <n v="8"/>
    <n v="0"/>
    <n v="9"/>
    <x v="1"/>
    <x v="1"/>
    <x v="0"/>
  </r>
  <r>
    <n v="27"/>
    <x v="1"/>
    <s v="Travel_Rarely"/>
    <n v="954"/>
    <x v="0"/>
    <n v="9"/>
    <n v="3"/>
    <s v="Marketing"/>
    <n v="1"/>
    <n v="1965"/>
    <n v="4"/>
    <s v="Male"/>
    <n v="44"/>
    <n v="3"/>
    <n v="2"/>
    <x v="0"/>
    <n v="4"/>
    <s v="Single"/>
    <n v="4105"/>
    <n v="5099"/>
    <n v="1"/>
    <s v="Y"/>
    <x v="1"/>
    <n v="14"/>
    <n v="3"/>
    <n v="1"/>
    <n v="80"/>
    <n v="0"/>
    <n v="7"/>
    <n v="5"/>
    <n v="3"/>
    <n v="7"/>
    <n v="7"/>
    <n v="0"/>
    <n v="7"/>
    <x v="1"/>
    <x v="2"/>
    <x v="0"/>
  </r>
  <r>
    <n v="32"/>
    <x v="1"/>
    <s v="Travel_Rarely"/>
    <n v="1373"/>
    <x v="1"/>
    <n v="5"/>
    <n v="4"/>
    <s v="Life Sciences"/>
    <n v="1"/>
    <n v="1966"/>
    <n v="4"/>
    <s v="Male"/>
    <n v="56"/>
    <n v="2"/>
    <n v="2"/>
    <x v="3"/>
    <n v="4"/>
    <s v="Single"/>
    <n v="9679"/>
    <n v="10138"/>
    <n v="8"/>
    <s v="Y"/>
    <x v="1"/>
    <n v="24"/>
    <n v="4"/>
    <n v="2"/>
    <n v="80"/>
    <n v="0"/>
    <n v="8"/>
    <n v="1"/>
    <n v="3"/>
    <n v="1"/>
    <n v="0"/>
    <n v="0"/>
    <n v="0"/>
    <x v="1"/>
    <x v="1"/>
    <x v="2"/>
  </r>
  <r>
    <n v="31"/>
    <x v="0"/>
    <s v="Travel_Frequently"/>
    <n v="754"/>
    <x v="0"/>
    <n v="26"/>
    <n v="4"/>
    <s v="Marketing"/>
    <n v="1"/>
    <n v="1967"/>
    <n v="1"/>
    <s v="Male"/>
    <n v="63"/>
    <n v="3"/>
    <n v="2"/>
    <x v="0"/>
    <n v="4"/>
    <s v="Married"/>
    <n v="5617"/>
    <n v="21075"/>
    <n v="1"/>
    <s v="Y"/>
    <x v="0"/>
    <n v="11"/>
    <n v="3"/>
    <n v="3"/>
    <n v="80"/>
    <n v="0"/>
    <n v="10"/>
    <n v="4"/>
    <n v="3"/>
    <n v="10"/>
    <n v="7"/>
    <n v="0"/>
    <n v="8"/>
    <x v="0"/>
    <x v="1"/>
    <x v="0"/>
  </r>
  <r>
    <n v="53"/>
    <x v="0"/>
    <s v="Travel_Rarely"/>
    <n v="1168"/>
    <x v="0"/>
    <n v="24"/>
    <n v="4"/>
    <s v="Life Sciences"/>
    <n v="1"/>
    <n v="1968"/>
    <n v="1"/>
    <s v="Male"/>
    <n v="66"/>
    <n v="3"/>
    <n v="3"/>
    <x v="0"/>
    <n v="1"/>
    <s v="Single"/>
    <n v="10448"/>
    <n v="5843"/>
    <n v="6"/>
    <s v="Y"/>
    <x v="0"/>
    <n v="13"/>
    <n v="3"/>
    <n v="2"/>
    <n v="80"/>
    <n v="0"/>
    <n v="15"/>
    <n v="2"/>
    <n v="2"/>
    <n v="2"/>
    <n v="2"/>
    <n v="2"/>
    <n v="2"/>
    <x v="0"/>
    <x v="3"/>
    <x v="2"/>
  </r>
  <r>
    <n v="54"/>
    <x v="1"/>
    <s v="Travel_Rarely"/>
    <n v="155"/>
    <x v="1"/>
    <n v="9"/>
    <n v="2"/>
    <s v="Life Sciences"/>
    <n v="1"/>
    <n v="1969"/>
    <n v="1"/>
    <s v="Female"/>
    <n v="67"/>
    <n v="3"/>
    <n v="2"/>
    <x v="1"/>
    <n v="3"/>
    <s v="Married"/>
    <n v="2897"/>
    <n v="22474"/>
    <n v="3"/>
    <s v="Y"/>
    <x v="1"/>
    <n v="11"/>
    <n v="3"/>
    <n v="3"/>
    <n v="80"/>
    <n v="2"/>
    <n v="9"/>
    <n v="6"/>
    <n v="2"/>
    <n v="4"/>
    <n v="3"/>
    <n v="2"/>
    <n v="3"/>
    <x v="1"/>
    <x v="3"/>
    <x v="1"/>
  </r>
  <r>
    <n v="33"/>
    <x v="1"/>
    <s v="Travel_Frequently"/>
    <n v="1303"/>
    <x v="1"/>
    <n v="7"/>
    <n v="2"/>
    <s v="Life Sciences"/>
    <n v="1"/>
    <n v="1970"/>
    <n v="4"/>
    <s v="Male"/>
    <n v="36"/>
    <n v="3"/>
    <n v="2"/>
    <x v="4"/>
    <n v="3"/>
    <s v="Divorced"/>
    <n v="5968"/>
    <n v="18079"/>
    <n v="1"/>
    <s v="Y"/>
    <x v="1"/>
    <n v="20"/>
    <n v="4"/>
    <n v="3"/>
    <n v="80"/>
    <n v="3"/>
    <n v="9"/>
    <n v="2"/>
    <n v="3"/>
    <n v="9"/>
    <n v="7"/>
    <n v="2"/>
    <n v="8"/>
    <x v="1"/>
    <x v="1"/>
    <x v="0"/>
  </r>
  <r>
    <n v="43"/>
    <x v="1"/>
    <s v="Travel_Rarely"/>
    <n v="574"/>
    <x v="1"/>
    <n v="11"/>
    <n v="3"/>
    <s v="Life Sciences"/>
    <n v="1"/>
    <n v="1971"/>
    <n v="1"/>
    <s v="Male"/>
    <n v="30"/>
    <n v="3"/>
    <n v="3"/>
    <x v="4"/>
    <n v="3"/>
    <s v="Married"/>
    <n v="7510"/>
    <n v="16873"/>
    <n v="1"/>
    <s v="Y"/>
    <x v="1"/>
    <n v="17"/>
    <n v="3"/>
    <n v="2"/>
    <n v="80"/>
    <n v="1"/>
    <n v="10"/>
    <n v="1"/>
    <n v="3"/>
    <n v="10"/>
    <n v="9"/>
    <n v="0"/>
    <n v="9"/>
    <x v="1"/>
    <x v="0"/>
    <x v="2"/>
  </r>
  <r>
    <n v="38"/>
    <x v="1"/>
    <s v="Travel_Frequently"/>
    <n v="1444"/>
    <x v="2"/>
    <n v="1"/>
    <n v="4"/>
    <s v="Other"/>
    <n v="1"/>
    <n v="1972"/>
    <n v="4"/>
    <s v="Male"/>
    <n v="88"/>
    <n v="3"/>
    <n v="1"/>
    <x v="8"/>
    <n v="2"/>
    <s v="Married"/>
    <n v="2991"/>
    <n v="5224"/>
    <n v="0"/>
    <s v="Y"/>
    <x v="0"/>
    <n v="11"/>
    <n v="3"/>
    <n v="2"/>
    <n v="80"/>
    <n v="1"/>
    <n v="7"/>
    <n v="2"/>
    <n v="3"/>
    <n v="6"/>
    <n v="2"/>
    <n v="1"/>
    <n v="2"/>
    <x v="1"/>
    <x v="1"/>
    <x v="1"/>
  </r>
  <r>
    <n v="55"/>
    <x v="1"/>
    <s v="Travel_Rarely"/>
    <n v="189"/>
    <x v="2"/>
    <n v="26"/>
    <n v="4"/>
    <s v="Human Resources"/>
    <n v="1"/>
    <n v="1973"/>
    <n v="3"/>
    <s v="Male"/>
    <n v="71"/>
    <n v="4"/>
    <n v="5"/>
    <x v="5"/>
    <n v="2"/>
    <s v="Married"/>
    <n v="19636"/>
    <n v="25811"/>
    <n v="4"/>
    <s v="Y"/>
    <x v="0"/>
    <n v="18"/>
    <n v="3"/>
    <n v="1"/>
    <n v="80"/>
    <n v="1"/>
    <n v="35"/>
    <n v="0"/>
    <n v="3"/>
    <n v="10"/>
    <n v="9"/>
    <n v="1"/>
    <n v="4"/>
    <x v="1"/>
    <x v="3"/>
    <x v="2"/>
  </r>
  <r>
    <n v="31"/>
    <x v="1"/>
    <s v="Travel_Rarely"/>
    <n v="1276"/>
    <x v="1"/>
    <n v="2"/>
    <n v="1"/>
    <s v="Medical"/>
    <n v="1"/>
    <n v="1974"/>
    <n v="4"/>
    <s v="Female"/>
    <n v="59"/>
    <n v="1"/>
    <n v="1"/>
    <x v="2"/>
    <n v="4"/>
    <s v="Divorced"/>
    <n v="1129"/>
    <n v="17536"/>
    <n v="1"/>
    <s v="Y"/>
    <x v="0"/>
    <n v="11"/>
    <n v="3"/>
    <n v="3"/>
    <n v="80"/>
    <n v="3"/>
    <n v="1"/>
    <n v="4"/>
    <n v="3"/>
    <n v="1"/>
    <n v="0"/>
    <n v="0"/>
    <n v="0"/>
    <x v="1"/>
    <x v="1"/>
    <x v="1"/>
  </r>
  <r>
    <n v="39"/>
    <x v="1"/>
    <s v="Travel_Rarely"/>
    <n v="119"/>
    <x v="0"/>
    <n v="15"/>
    <n v="4"/>
    <s v="Marketing"/>
    <n v="1"/>
    <n v="1975"/>
    <n v="2"/>
    <s v="Male"/>
    <n v="77"/>
    <n v="3"/>
    <n v="4"/>
    <x v="0"/>
    <n v="1"/>
    <s v="Single"/>
    <n v="13341"/>
    <n v="25098"/>
    <n v="0"/>
    <s v="Y"/>
    <x v="1"/>
    <n v="12"/>
    <n v="3"/>
    <n v="1"/>
    <n v="80"/>
    <n v="0"/>
    <n v="21"/>
    <n v="3"/>
    <n v="3"/>
    <n v="20"/>
    <n v="8"/>
    <n v="11"/>
    <n v="10"/>
    <x v="1"/>
    <x v="1"/>
    <x v="2"/>
  </r>
  <r>
    <n v="42"/>
    <x v="1"/>
    <s v="Non-Travel"/>
    <n v="335"/>
    <x v="1"/>
    <n v="23"/>
    <n v="2"/>
    <s v="Life Sciences"/>
    <n v="1"/>
    <n v="1976"/>
    <n v="4"/>
    <s v="Male"/>
    <n v="37"/>
    <n v="2"/>
    <n v="2"/>
    <x v="1"/>
    <n v="3"/>
    <s v="Single"/>
    <n v="4332"/>
    <n v="14811"/>
    <n v="1"/>
    <s v="Y"/>
    <x v="1"/>
    <n v="12"/>
    <n v="3"/>
    <n v="4"/>
    <n v="80"/>
    <n v="0"/>
    <n v="20"/>
    <n v="2"/>
    <n v="3"/>
    <n v="20"/>
    <n v="9"/>
    <n v="3"/>
    <n v="7"/>
    <x v="1"/>
    <x v="0"/>
    <x v="0"/>
  </r>
  <r>
    <n v="31"/>
    <x v="1"/>
    <s v="Non-Travel"/>
    <n v="697"/>
    <x v="1"/>
    <n v="10"/>
    <n v="3"/>
    <s v="Medical"/>
    <n v="1"/>
    <n v="1979"/>
    <n v="3"/>
    <s v="Female"/>
    <n v="40"/>
    <n v="3"/>
    <n v="3"/>
    <x v="7"/>
    <n v="3"/>
    <s v="Married"/>
    <n v="11031"/>
    <n v="26862"/>
    <n v="4"/>
    <s v="Y"/>
    <x v="1"/>
    <n v="20"/>
    <n v="4"/>
    <n v="3"/>
    <n v="80"/>
    <n v="1"/>
    <n v="13"/>
    <n v="2"/>
    <n v="4"/>
    <n v="11"/>
    <n v="7"/>
    <n v="4"/>
    <n v="8"/>
    <x v="1"/>
    <x v="1"/>
    <x v="2"/>
  </r>
  <r>
    <n v="54"/>
    <x v="1"/>
    <s v="Travel_Rarely"/>
    <n v="157"/>
    <x v="1"/>
    <n v="10"/>
    <n v="3"/>
    <s v="Medical"/>
    <n v="1"/>
    <n v="1980"/>
    <n v="3"/>
    <s v="Female"/>
    <n v="77"/>
    <n v="3"/>
    <n v="2"/>
    <x v="3"/>
    <n v="1"/>
    <s v="Single"/>
    <n v="4440"/>
    <n v="25198"/>
    <n v="6"/>
    <s v="Y"/>
    <x v="0"/>
    <n v="19"/>
    <n v="3"/>
    <n v="4"/>
    <n v="80"/>
    <n v="0"/>
    <n v="9"/>
    <n v="3"/>
    <n v="3"/>
    <n v="5"/>
    <n v="2"/>
    <n v="1"/>
    <n v="4"/>
    <x v="1"/>
    <x v="3"/>
    <x v="0"/>
  </r>
  <r>
    <n v="24"/>
    <x v="1"/>
    <s v="Travel_Rarely"/>
    <n v="771"/>
    <x v="1"/>
    <n v="1"/>
    <n v="2"/>
    <s v="Life Sciences"/>
    <n v="1"/>
    <n v="1981"/>
    <n v="2"/>
    <s v="Male"/>
    <n v="45"/>
    <n v="2"/>
    <n v="2"/>
    <x v="4"/>
    <n v="3"/>
    <s v="Single"/>
    <n v="4617"/>
    <n v="14120"/>
    <n v="1"/>
    <s v="Y"/>
    <x v="1"/>
    <n v="12"/>
    <n v="3"/>
    <n v="2"/>
    <n v="80"/>
    <n v="0"/>
    <n v="4"/>
    <n v="2"/>
    <n v="2"/>
    <n v="4"/>
    <n v="3"/>
    <n v="1"/>
    <n v="2"/>
    <x v="1"/>
    <x v="2"/>
    <x v="0"/>
  </r>
  <r>
    <n v="23"/>
    <x v="1"/>
    <s v="Travel_Rarely"/>
    <n v="571"/>
    <x v="1"/>
    <n v="12"/>
    <n v="2"/>
    <s v="Other"/>
    <n v="1"/>
    <n v="1982"/>
    <n v="4"/>
    <s v="Male"/>
    <n v="78"/>
    <n v="3"/>
    <n v="1"/>
    <x v="2"/>
    <n v="4"/>
    <s v="Single"/>
    <n v="2647"/>
    <n v="13672"/>
    <n v="1"/>
    <s v="Y"/>
    <x v="1"/>
    <n v="13"/>
    <n v="3"/>
    <n v="3"/>
    <n v="80"/>
    <n v="0"/>
    <n v="5"/>
    <n v="6"/>
    <n v="4"/>
    <n v="5"/>
    <n v="2"/>
    <n v="1"/>
    <n v="4"/>
    <x v="1"/>
    <x v="2"/>
    <x v="1"/>
  </r>
  <r>
    <n v="40"/>
    <x v="1"/>
    <s v="Travel_Frequently"/>
    <n v="692"/>
    <x v="1"/>
    <n v="11"/>
    <n v="3"/>
    <s v="Technical Degree"/>
    <n v="1"/>
    <n v="1985"/>
    <n v="4"/>
    <s v="Female"/>
    <n v="73"/>
    <n v="3"/>
    <n v="2"/>
    <x v="2"/>
    <n v="3"/>
    <s v="Married"/>
    <n v="6323"/>
    <n v="26849"/>
    <n v="1"/>
    <s v="Y"/>
    <x v="1"/>
    <n v="11"/>
    <n v="3"/>
    <n v="1"/>
    <n v="80"/>
    <n v="1"/>
    <n v="10"/>
    <n v="2"/>
    <n v="4"/>
    <n v="10"/>
    <n v="9"/>
    <n v="9"/>
    <n v="4"/>
    <x v="1"/>
    <x v="0"/>
    <x v="0"/>
  </r>
  <r>
    <n v="40"/>
    <x v="1"/>
    <s v="Travel_Rarely"/>
    <n v="444"/>
    <x v="0"/>
    <n v="2"/>
    <n v="2"/>
    <s v="Marketing"/>
    <n v="1"/>
    <n v="1986"/>
    <n v="2"/>
    <s v="Female"/>
    <n v="92"/>
    <n v="3"/>
    <n v="2"/>
    <x v="0"/>
    <n v="2"/>
    <s v="Married"/>
    <n v="5677"/>
    <n v="4258"/>
    <n v="3"/>
    <s v="Y"/>
    <x v="1"/>
    <n v="14"/>
    <n v="3"/>
    <n v="3"/>
    <n v="80"/>
    <n v="1"/>
    <n v="15"/>
    <n v="4"/>
    <n v="3"/>
    <n v="11"/>
    <n v="8"/>
    <n v="5"/>
    <n v="10"/>
    <x v="1"/>
    <x v="0"/>
    <x v="0"/>
  </r>
  <r>
    <n v="25"/>
    <x v="1"/>
    <s v="Travel_Rarely"/>
    <n v="309"/>
    <x v="2"/>
    <n v="2"/>
    <n v="3"/>
    <s v="Human Resources"/>
    <n v="1"/>
    <n v="1987"/>
    <n v="3"/>
    <s v="Female"/>
    <n v="82"/>
    <n v="3"/>
    <n v="1"/>
    <x v="8"/>
    <n v="2"/>
    <s v="Married"/>
    <n v="2187"/>
    <n v="19655"/>
    <n v="4"/>
    <s v="Y"/>
    <x v="1"/>
    <n v="14"/>
    <n v="3"/>
    <n v="3"/>
    <n v="80"/>
    <n v="0"/>
    <n v="6"/>
    <n v="3"/>
    <n v="3"/>
    <n v="2"/>
    <n v="0"/>
    <n v="1"/>
    <n v="2"/>
    <x v="1"/>
    <x v="2"/>
    <x v="1"/>
  </r>
  <r>
    <n v="30"/>
    <x v="1"/>
    <s v="Travel_Rarely"/>
    <n v="911"/>
    <x v="1"/>
    <n v="1"/>
    <n v="2"/>
    <s v="Medical"/>
    <n v="1"/>
    <n v="1989"/>
    <n v="4"/>
    <s v="Male"/>
    <n v="76"/>
    <n v="3"/>
    <n v="1"/>
    <x v="2"/>
    <n v="2"/>
    <s v="Married"/>
    <n v="3748"/>
    <n v="4077"/>
    <n v="1"/>
    <s v="Y"/>
    <x v="1"/>
    <n v="13"/>
    <n v="3"/>
    <n v="3"/>
    <n v="80"/>
    <n v="0"/>
    <n v="12"/>
    <n v="6"/>
    <n v="2"/>
    <n v="12"/>
    <n v="8"/>
    <n v="1"/>
    <n v="7"/>
    <x v="1"/>
    <x v="1"/>
    <x v="0"/>
  </r>
  <r>
    <n v="25"/>
    <x v="1"/>
    <s v="Travel_Rarely"/>
    <n v="977"/>
    <x v="1"/>
    <n v="2"/>
    <n v="1"/>
    <s v="Other"/>
    <n v="1"/>
    <n v="1992"/>
    <n v="4"/>
    <s v="Male"/>
    <n v="57"/>
    <n v="3"/>
    <n v="1"/>
    <x v="2"/>
    <n v="3"/>
    <s v="Divorced"/>
    <n v="3977"/>
    <n v="7298"/>
    <n v="6"/>
    <s v="Y"/>
    <x v="0"/>
    <n v="19"/>
    <n v="3"/>
    <n v="3"/>
    <n v="80"/>
    <n v="1"/>
    <n v="7"/>
    <n v="2"/>
    <n v="2"/>
    <n v="2"/>
    <n v="2"/>
    <n v="0"/>
    <n v="2"/>
    <x v="1"/>
    <x v="2"/>
    <x v="0"/>
  </r>
  <r>
    <n v="47"/>
    <x v="1"/>
    <s v="Travel_Rarely"/>
    <n v="1180"/>
    <x v="1"/>
    <n v="25"/>
    <n v="3"/>
    <s v="Medical"/>
    <n v="1"/>
    <n v="1993"/>
    <n v="1"/>
    <s v="Male"/>
    <n v="84"/>
    <n v="3"/>
    <n v="3"/>
    <x v="4"/>
    <n v="3"/>
    <s v="Single"/>
    <n v="8633"/>
    <n v="13084"/>
    <n v="2"/>
    <s v="Y"/>
    <x v="1"/>
    <n v="23"/>
    <n v="4"/>
    <n v="2"/>
    <n v="80"/>
    <n v="0"/>
    <n v="25"/>
    <n v="3"/>
    <n v="3"/>
    <n v="17"/>
    <n v="14"/>
    <n v="12"/>
    <n v="11"/>
    <x v="1"/>
    <x v="0"/>
    <x v="2"/>
  </r>
  <r>
    <n v="33"/>
    <x v="1"/>
    <s v="Non-Travel"/>
    <n v="1313"/>
    <x v="1"/>
    <n v="1"/>
    <n v="2"/>
    <s v="Medical"/>
    <n v="1"/>
    <n v="1994"/>
    <n v="2"/>
    <s v="Male"/>
    <n v="59"/>
    <n v="2"/>
    <n v="1"/>
    <x v="2"/>
    <n v="3"/>
    <s v="Divorced"/>
    <n v="2008"/>
    <n v="20439"/>
    <n v="1"/>
    <s v="Y"/>
    <x v="1"/>
    <n v="12"/>
    <n v="3"/>
    <n v="3"/>
    <n v="80"/>
    <n v="3"/>
    <n v="1"/>
    <n v="2"/>
    <n v="2"/>
    <n v="1"/>
    <n v="1"/>
    <n v="0"/>
    <n v="0"/>
    <x v="1"/>
    <x v="1"/>
    <x v="1"/>
  </r>
  <r>
    <n v="38"/>
    <x v="1"/>
    <s v="Travel_Rarely"/>
    <n v="1321"/>
    <x v="0"/>
    <n v="1"/>
    <n v="4"/>
    <s v="Life Sciences"/>
    <n v="1"/>
    <n v="1995"/>
    <n v="4"/>
    <s v="Male"/>
    <n v="86"/>
    <n v="3"/>
    <n v="2"/>
    <x v="0"/>
    <n v="2"/>
    <s v="Married"/>
    <n v="4440"/>
    <n v="7636"/>
    <n v="0"/>
    <s v="Y"/>
    <x v="1"/>
    <n v="15"/>
    <n v="3"/>
    <n v="1"/>
    <n v="80"/>
    <n v="2"/>
    <n v="16"/>
    <n v="3"/>
    <n v="3"/>
    <n v="15"/>
    <n v="13"/>
    <n v="5"/>
    <n v="8"/>
    <x v="1"/>
    <x v="1"/>
    <x v="0"/>
  </r>
  <r>
    <n v="31"/>
    <x v="1"/>
    <s v="Travel_Rarely"/>
    <n v="1154"/>
    <x v="0"/>
    <n v="2"/>
    <n v="2"/>
    <s v="Life Sciences"/>
    <n v="1"/>
    <n v="1996"/>
    <n v="1"/>
    <s v="Male"/>
    <n v="54"/>
    <n v="3"/>
    <n v="1"/>
    <x v="6"/>
    <n v="3"/>
    <s v="Married"/>
    <n v="3067"/>
    <n v="6393"/>
    <n v="0"/>
    <s v="Y"/>
    <x v="1"/>
    <n v="19"/>
    <n v="3"/>
    <n v="3"/>
    <n v="80"/>
    <n v="1"/>
    <n v="3"/>
    <n v="1"/>
    <n v="3"/>
    <n v="2"/>
    <n v="2"/>
    <n v="1"/>
    <n v="2"/>
    <x v="1"/>
    <x v="1"/>
    <x v="0"/>
  </r>
  <r>
    <n v="38"/>
    <x v="1"/>
    <s v="Travel_Frequently"/>
    <n v="508"/>
    <x v="1"/>
    <n v="6"/>
    <n v="4"/>
    <s v="Life Sciences"/>
    <n v="1"/>
    <n v="1997"/>
    <n v="1"/>
    <s v="Male"/>
    <n v="72"/>
    <n v="2"/>
    <n v="2"/>
    <x v="3"/>
    <n v="3"/>
    <s v="Married"/>
    <n v="5321"/>
    <n v="14284"/>
    <n v="2"/>
    <s v="Y"/>
    <x v="1"/>
    <n v="11"/>
    <n v="3"/>
    <n v="4"/>
    <n v="80"/>
    <n v="1"/>
    <n v="10"/>
    <n v="1"/>
    <n v="3"/>
    <n v="8"/>
    <n v="3"/>
    <n v="7"/>
    <n v="7"/>
    <x v="1"/>
    <x v="1"/>
    <x v="0"/>
  </r>
  <r>
    <n v="42"/>
    <x v="1"/>
    <s v="Travel_Rarely"/>
    <n v="557"/>
    <x v="1"/>
    <n v="18"/>
    <n v="4"/>
    <s v="Life Sciences"/>
    <n v="1"/>
    <n v="1998"/>
    <n v="4"/>
    <s v="Male"/>
    <n v="35"/>
    <n v="3"/>
    <n v="2"/>
    <x v="1"/>
    <n v="1"/>
    <s v="Divorced"/>
    <n v="5410"/>
    <n v="11189"/>
    <n v="6"/>
    <s v="Y"/>
    <x v="0"/>
    <n v="17"/>
    <n v="3"/>
    <n v="3"/>
    <n v="80"/>
    <n v="1"/>
    <n v="9"/>
    <n v="3"/>
    <n v="2"/>
    <n v="4"/>
    <n v="3"/>
    <n v="1"/>
    <n v="2"/>
    <x v="1"/>
    <x v="0"/>
    <x v="0"/>
  </r>
  <r>
    <n v="41"/>
    <x v="1"/>
    <s v="Travel_Rarely"/>
    <n v="642"/>
    <x v="1"/>
    <n v="1"/>
    <n v="3"/>
    <s v="Life Sciences"/>
    <n v="1"/>
    <n v="1999"/>
    <n v="4"/>
    <s v="Male"/>
    <n v="76"/>
    <n v="3"/>
    <n v="1"/>
    <x v="1"/>
    <n v="4"/>
    <s v="Married"/>
    <n v="2782"/>
    <n v="21412"/>
    <n v="3"/>
    <s v="Y"/>
    <x v="1"/>
    <n v="22"/>
    <n v="4"/>
    <n v="1"/>
    <n v="80"/>
    <n v="1"/>
    <n v="12"/>
    <n v="3"/>
    <n v="3"/>
    <n v="5"/>
    <n v="3"/>
    <n v="1"/>
    <n v="0"/>
    <x v="1"/>
    <x v="0"/>
    <x v="1"/>
  </r>
  <r>
    <n v="47"/>
    <x v="1"/>
    <s v="Non-Travel"/>
    <n v="1162"/>
    <x v="1"/>
    <n v="1"/>
    <n v="1"/>
    <s v="Medical"/>
    <n v="1"/>
    <n v="2000"/>
    <n v="3"/>
    <s v="Female"/>
    <n v="98"/>
    <n v="3"/>
    <n v="3"/>
    <x v="7"/>
    <n v="2"/>
    <s v="Married"/>
    <n v="11957"/>
    <n v="17231"/>
    <n v="0"/>
    <s v="Y"/>
    <x v="1"/>
    <n v="18"/>
    <n v="3"/>
    <n v="1"/>
    <n v="80"/>
    <n v="2"/>
    <n v="14"/>
    <n v="3"/>
    <n v="1"/>
    <n v="13"/>
    <n v="8"/>
    <n v="5"/>
    <n v="12"/>
    <x v="1"/>
    <x v="0"/>
    <x v="2"/>
  </r>
  <r>
    <n v="35"/>
    <x v="1"/>
    <s v="Travel_Rarely"/>
    <n v="1490"/>
    <x v="1"/>
    <n v="11"/>
    <n v="4"/>
    <s v="Medical"/>
    <n v="1"/>
    <n v="2003"/>
    <n v="4"/>
    <s v="Male"/>
    <n v="43"/>
    <n v="3"/>
    <n v="1"/>
    <x v="2"/>
    <n v="3"/>
    <s v="Married"/>
    <n v="2660"/>
    <n v="20232"/>
    <n v="7"/>
    <s v="Y"/>
    <x v="0"/>
    <n v="11"/>
    <n v="3"/>
    <n v="3"/>
    <n v="80"/>
    <n v="1"/>
    <n v="5"/>
    <n v="3"/>
    <n v="3"/>
    <n v="2"/>
    <n v="2"/>
    <n v="2"/>
    <n v="2"/>
    <x v="1"/>
    <x v="1"/>
    <x v="1"/>
  </r>
  <r>
    <n v="22"/>
    <x v="1"/>
    <s v="Travel_Rarely"/>
    <n v="581"/>
    <x v="1"/>
    <n v="1"/>
    <n v="2"/>
    <s v="Life Sciences"/>
    <n v="1"/>
    <n v="2007"/>
    <n v="4"/>
    <s v="Male"/>
    <n v="63"/>
    <n v="3"/>
    <n v="1"/>
    <x v="1"/>
    <n v="3"/>
    <s v="Single"/>
    <n v="3375"/>
    <n v="17624"/>
    <n v="0"/>
    <s v="Y"/>
    <x v="1"/>
    <n v="12"/>
    <n v="3"/>
    <n v="4"/>
    <n v="80"/>
    <n v="0"/>
    <n v="4"/>
    <n v="2"/>
    <n v="4"/>
    <n v="3"/>
    <n v="2"/>
    <n v="1"/>
    <n v="2"/>
    <x v="1"/>
    <x v="2"/>
    <x v="0"/>
  </r>
  <r>
    <n v="35"/>
    <x v="1"/>
    <s v="Travel_Rarely"/>
    <n v="1395"/>
    <x v="1"/>
    <n v="9"/>
    <n v="4"/>
    <s v="Medical"/>
    <n v="1"/>
    <n v="2008"/>
    <n v="2"/>
    <s v="Male"/>
    <n v="48"/>
    <n v="3"/>
    <n v="2"/>
    <x v="1"/>
    <n v="3"/>
    <s v="Single"/>
    <n v="5098"/>
    <n v="18698"/>
    <n v="1"/>
    <s v="Y"/>
    <x v="1"/>
    <n v="19"/>
    <n v="3"/>
    <n v="2"/>
    <n v="80"/>
    <n v="0"/>
    <n v="10"/>
    <n v="5"/>
    <n v="3"/>
    <n v="10"/>
    <n v="7"/>
    <n v="0"/>
    <n v="8"/>
    <x v="1"/>
    <x v="1"/>
    <x v="0"/>
  </r>
  <r>
    <n v="33"/>
    <x v="1"/>
    <s v="Travel_Rarely"/>
    <n v="501"/>
    <x v="1"/>
    <n v="15"/>
    <n v="2"/>
    <s v="Medical"/>
    <n v="1"/>
    <n v="2009"/>
    <n v="2"/>
    <s v="Female"/>
    <n v="95"/>
    <n v="3"/>
    <n v="2"/>
    <x v="4"/>
    <n v="4"/>
    <s v="Married"/>
    <n v="4878"/>
    <n v="21653"/>
    <n v="0"/>
    <s v="Y"/>
    <x v="0"/>
    <n v="13"/>
    <n v="3"/>
    <n v="1"/>
    <n v="80"/>
    <n v="1"/>
    <n v="10"/>
    <n v="6"/>
    <n v="3"/>
    <n v="9"/>
    <n v="7"/>
    <n v="8"/>
    <n v="1"/>
    <x v="1"/>
    <x v="1"/>
    <x v="0"/>
  </r>
  <r>
    <n v="32"/>
    <x v="1"/>
    <s v="Travel_Rarely"/>
    <n v="267"/>
    <x v="1"/>
    <n v="29"/>
    <n v="4"/>
    <s v="Life Sciences"/>
    <n v="1"/>
    <n v="2010"/>
    <n v="3"/>
    <s v="Female"/>
    <n v="49"/>
    <n v="2"/>
    <n v="1"/>
    <x v="2"/>
    <n v="2"/>
    <s v="Single"/>
    <n v="2837"/>
    <n v="15919"/>
    <n v="1"/>
    <s v="Y"/>
    <x v="1"/>
    <n v="13"/>
    <n v="3"/>
    <n v="3"/>
    <n v="80"/>
    <n v="0"/>
    <n v="6"/>
    <n v="3"/>
    <n v="3"/>
    <n v="6"/>
    <n v="2"/>
    <n v="4"/>
    <n v="1"/>
    <x v="1"/>
    <x v="1"/>
    <x v="1"/>
  </r>
  <r>
    <n v="40"/>
    <x v="1"/>
    <s v="Travel_Rarely"/>
    <n v="543"/>
    <x v="1"/>
    <n v="1"/>
    <n v="4"/>
    <s v="Life Sciences"/>
    <n v="1"/>
    <n v="2012"/>
    <n v="1"/>
    <s v="Male"/>
    <n v="83"/>
    <n v="3"/>
    <n v="1"/>
    <x v="2"/>
    <n v="4"/>
    <s v="Married"/>
    <n v="2406"/>
    <n v="4060"/>
    <n v="8"/>
    <s v="Y"/>
    <x v="1"/>
    <n v="19"/>
    <n v="3"/>
    <n v="3"/>
    <n v="80"/>
    <n v="2"/>
    <n v="8"/>
    <n v="3"/>
    <n v="2"/>
    <n v="1"/>
    <n v="0"/>
    <n v="0"/>
    <n v="0"/>
    <x v="1"/>
    <x v="0"/>
    <x v="1"/>
  </r>
  <r>
    <n v="32"/>
    <x v="1"/>
    <s v="Travel_Rarely"/>
    <n v="234"/>
    <x v="0"/>
    <n v="1"/>
    <n v="4"/>
    <s v="Medical"/>
    <n v="1"/>
    <n v="2013"/>
    <n v="2"/>
    <s v="Male"/>
    <n v="68"/>
    <n v="2"/>
    <n v="1"/>
    <x v="6"/>
    <n v="2"/>
    <s v="Married"/>
    <n v="2269"/>
    <n v="18024"/>
    <n v="0"/>
    <s v="Y"/>
    <x v="1"/>
    <n v="14"/>
    <n v="3"/>
    <n v="2"/>
    <n v="80"/>
    <n v="1"/>
    <n v="3"/>
    <n v="2"/>
    <n v="3"/>
    <n v="2"/>
    <n v="2"/>
    <n v="2"/>
    <n v="2"/>
    <x v="1"/>
    <x v="1"/>
    <x v="1"/>
  </r>
  <r>
    <n v="39"/>
    <x v="1"/>
    <s v="Travel_Rarely"/>
    <n v="116"/>
    <x v="1"/>
    <n v="24"/>
    <n v="1"/>
    <s v="Life Sciences"/>
    <n v="1"/>
    <n v="2014"/>
    <n v="1"/>
    <s v="Male"/>
    <n v="52"/>
    <n v="3"/>
    <n v="2"/>
    <x v="1"/>
    <n v="4"/>
    <s v="Single"/>
    <n v="4108"/>
    <n v="5340"/>
    <n v="7"/>
    <s v="Y"/>
    <x v="1"/>
    <n v="13"/>
    <n v="3"/>
    <n v="1"/>
    <n v="80"/>
    <n v="0"/>
    <n v="18"/>
    <n v="2"/>
    <n v="3"/>
    <n v="7"/>
    <n v="7"/>
    <n v="1"/>
    <n v="7"/>
    <x v="1"/>
    <x v="1"/>
    <x v="0"/>
  </r>
  <r>
    <n v="38"/>
    <x v="1"/>
    <s v="Travel_Rarely"/>
    <n v="201"/>
    <x v="1"/>
    <n v="10"/>
    <n v="3"/>
    <s v="Medical"/>
    <n v="1"/>
    <n v="2015"/>
    <n v="2"/>
    <s v="Female"/>
    <n v="99"/>
    <n v="1"/>
    <n v="3"/>
    <x v="7"/>
    <n v="3"/>
    <s v="Married"/>
    <n v="13206"/>
    <n v="3376"/>
    <n v="3"/>
    <s v="Y"/>
    <x v="1"/>
    <n v="12"/>
    <n v="3"/>
    <n v="1"/>
    <n v="80"/>
    <n v="1"/>
    <n v="20"/>
    <n v="3"/>
    <n v="3"/>
    <n v="18"/>
    <n v="16"/>
    <n v="1"/>
    <n v="11"/>
    <x v="1"/>
    <x v="1"/>
    <x v="2"/>
  </r>
  <r>
    <n v="32"/>
    <x v="1"/>
    <s v="Travel_Rarely"/>
    <n v="801"/>
    <x v="0"/>
    <n v="1"/>
    <n v="4"/>
    <s v="Marketing"/>
    <n v="1"/>
    <n v="2016"/>
    <n v="3"/>
    <s v="Female"/>
    <n v="48"/>
    <n v="3"/>
    <n v="3"/>
    <x v="0"/>
    <n v="4"/>
    <s v="Married"/>
    <n v="10422"/>
    <n v="24032"/>
    <n v="1"/>
    <s v="Y"/>
    <x v="1"/>
    <n v="19"/>
    <n v="3"/>
    <n v="3"/>
    <n v="80"/>
    <n v="2"/>
    <n v="14"/>
    <n v="3"/>
    <n v="3"/>
    <n v="14"/>
    <n v="10"/>
    <n v="5"/>
    <n v="7"/>
    <x v="1"/>
    <x v="1"/>
    <x v="2"/>
  </r>
  <r>
    <n v="37"/>
    <x v="1"/>
    <s v="Travel_Rarely"/>
    <n v="161"/>
    <x v="1"/>
    <n v="10"/>
    <n v="3"/>
    <s v="Life Sciences"/>
    <n v="1"/>
    <n v="2017"/>
    <n v="3"/>
    <s v="Female"/>
    <n v="42"/>
    <n v="4"/>
    <n v="3"/>
    <x v="7"/>
    <n v="4"/>
    <s v="Married"/>
    <n v="13744"/>
    <n v="15471"/>
    <n v="1"/>
    <s v="Y"/>
    <x v="0"/>
    <n v="25"/>
    <n v="4"/>
    <n v="1"/>
    <n v="80"/>
    <n v="1"/>
    <n v="16"/>
    <n v="2"/>
    <n v="3"/>
    <n v="16"/>
    <n v="11"/>
    <n v="6"/>
    <n v="8"/>
    <x v="1"/>
    <x v="1"/>
    <x v="2"/>
  </r>
  <r>
    <n v="25"/>
    <x v="1"/>
    <s v="Travel_Rarely"/>
    <n v="1382"/>
    <x v="0"/>
    <n v="8"/>
    <n v="2"/>
    <s v="Other"/>
    <n v="1"/>
    <n v="2018"/>
    <n v="1"/>
    <s v="Female"/>
    <n v="85"/>
    <n v="3"/>
    <n v="2"/>
    <x v="0"/>
    <n v="3"/>
    <s v="Divorced"/>
    <n v="4907"/>
    <n v="13684"/>
    <n v="0"/>
    <s v="Y"/>
    <x v="0"/>
    <n v="22"/>
    <n v="4"/>
    <n v="2"/>
    <n v="80"/>
    <n v="1"/>
    <n v="6"/>
    <n v="3"/>
    <n v="2"/>
    <n v="5"/>
    <n v="3"/>
    <n v="0"/>
    <n v="4"/>
    <x v="1"/>
    <x v="2"/>
    <x v="0"/>
  </r>
  <r>
    <n v="52"/>
    <x v="1"/>
    <s v="Non-Travel"/>
    <n v="585"/>
    <x v="0"/>
    <n v="29"/>
    <n v="4"/>
    <s v="Life Sciences"/>
    <n v="1"/>
    <n v="2019"/>
    <n v="1"/>
    <s v="Male"/>
    <n v="40"/>
    <n v="3"/>
    <n v="1"/>
    <x v="6"/>
    <n v="4"/>
    <s v="Divorced"/>
    <n v="3482"/>
    <n v="19788"/>
    <n v="2"/>
    <s v="Y"/>
    <x v="1"/>
    <n v="15"/>
    <n v="3"/>
    <n v="2"/>
    <n v="80"/>
    <n v="2"/>
    <n v="16"/>
    <n v="3"/>
    <n v="2"/>
    <n v="9"/>
    <n v="8"/>
    <n v="0"/>
    <n v="0"/>
    <x v="1"/>
    <x v="3"/>
    <x v="0"/>
  </r>
  <r>
    <n v="44"/>
    <x v="1"/>
    <s v="Travel_Rarely"/>
    <n v="1037"/>
    <x v="1"/>
    <n v="1"/>
    <n v="3"/>
    <s v="Medical"/>
    <n v="1"/>
    <n v="2020"/>
    <n v="2"/>
    <s v="Male"/>
    <n v="42"/>
    <n v="3"/>
    <n v="1"/>
    <x v="1"/>
    <n v="4"/>
    <s v="Single"/>
    <n v="2436"/>
    <n v="13422"/>
    <n v="6"/>
    <s v="Y"/>
    <x v="0"/>
    <n v="12"/>
    <n v="3"/>
    <n v="3"/>
    <n v="80"/>
    <n v="0"/>
    <n v="6"/>
    <n v="2"/>
    <n v="3"/>
    <n v="4"/>
    <n v="3"/>
    <n v="1"/>
    <n v="2"/>
    <x v="1"/>
    <x v="0"/>
    <x v="1"/>
  </r>
  <r>
    <n v="21"/>
    <x v="1"/>
    <s v="Travel_Rarely"/>
    <n v="501"/>
    <x v="0"/>
    <n v="5"/>
    <n v="1"/>
    <s v="Medical"/>
    <n v="1"/>
    <n v="2021"/>
    <n v="3"/>
    <s v="Male"/>
    <n v="58"/>
    <n v="3"/>
    <n v="1"/>
    <x v="6"/>
    <n v="1"/>
    <s v="Single"/>
    <n v="2380"/>
    <n v="25479"/>
    <n v="1"/>
    <s v="Y"/>
    <x v="0"/>
    <n v="11"/>
    <n v="3"/>
    <n v="4"/>
    <n v="80"/>
    <n v="0"/>
    <n v="2"/>
    <n v="6"/>
    <n v="3"/>
    <n v="2"/>
    <n v="2"/>
    <n v="1"/>
    <n v="2"/>
    <x v="1"/>
    <x v="2"/>
    <x v="1"/>
  </r>
  <r>
    <n v="39"/>
    <x v="1"/>
    <s v="Non-Travel"/>
    <n v="105"/>
    <x v="1"/>
    <n v="9"/>
    <n v="3"/>
    <s v="Life Sciences"/>
    <n v="1"/>
    <n v="2022"/>
    <n v="4"/>
    <s v="Male"/>
    <n v="87"/>
    <n v="3"/>
    <n v="5"/>
    <x v="5"/>
    <n v="4"/>
    <s v="Single"/>
    <n v="19431"/>
    <n v="15302"/>
    <n v="2"/>
    <s v="Y"/>
    <x v="1"/>
    <n v="13"/>
    <n v="3"/>
    <n v="3"/>
    <n v="80"/>
    <n v="0"/>
    <n v="21"/>
    <n v="3"/>
    <n v="2"/>
    <n v="6"/>
    <n v="0"/>
    <n v="1"/>
    <n v="3"/>
    <x v="1"/>
    <x v="1"/>
    <x v="2"/>
  </r>
  <r>
    <n v="23"/>
    <x v="0"/>
    <s v="Travel_Frequently"/>
    <n v="638"/>
    <x v="0"/>
    <n v="9"/>
    <n v="3"/>
    <s v="Marketing"/>
    <n v="1"/>
    <n v="2023"/>
    <n v="4"/>
    <s v="Male"/>
    <n v="33"/>
    <n v="3"/>
    <n v="1"/>
    <x v="6"/>
    <n v="1"/>
    <s v="Married"/>
    <n v="1790"/>
    <n v="26956"/>
    <n v="1"/>
    <s v="Y"/>
    <x v="1"/>
    <n v="19"/>
    <n v="3"/>
    <n v="1"/>
    <n v="80"/>
    <n v="1"/>
    <n v="1"/>
    <n v="3"/>
    <n v="2"/>
    <n v="1"/>
    <n v="0"/>
    <n v="1"/>
    <n v="0"/>
    <x v="0"/>
    <x v="2"/>
    <x v="1"/>
  </r>
  <r>
    <n v="36"/>
    <x v="1"/>
    <s v="Travel_Rarely"/>
    <n v="557"/>
    <x v="0"/>
    <n v="3"/>
    <n v="3"/>
    <s v="Medical"/>
    <n v="1"/>
    <n v="2024"/>
    <n v="1"/>
    <s v="Female"/>
    <n v="94"/>
    <n v="2"/>
    <n v="3"/>
    <x v="0"/>
    <n v="4"/>
    <s v="Married"/>
    <n v="7644"/>
    <n v="12695"/>
    <n v="0"/>
    <s v="Y"/>
    <x v="1"/>
    <n v="19"/>
    <n v="3"/>
    <n v="3"/>
    <n v="80"/>
    <n v="2"/>
    <n v="10"/>
    <n v="2"/>
    <n v="3"/>
    <n v="9"/>
    <n v="7"/>
    <n v="3"/>
    <n v="4"/>
    <x v="1"/>
    <x v="1"/>
    <x v="2"/>
  </r>
  <r>
    <n v="36"/>
    <x v="1"/>
    <s v="Travel_Frequently"/>
    <n v="688"/>
    <x v="1"/>
    <n v="4"/>
    <n v="2"/>
    <s v="Life Sciences"/>
    <n v="1"/>
    <n v="2025"/>
    <n v="4"/>
    <s v="Female"/>
    <n v="97"/>
    <n v="3"/>
    <n v="2"/>
    <x v="3"/>
    <n v="2"/>
    <s v="Divorced"/>
    <n v="5131"/>
    <n v="9192"/>
    <n v="7"/>
    <s v="Y"/>
    <x v="1"/>
    <n v="13"/>
    <n v="3"/>
    <n v="2"/>
    <n v="80"/>
    <n v="3"/>
    <n v="18"/>
    <n v="3"/>
    <n v="3"/>
    <n v="4"/>
    <n v="2"/>
    <n v="0"/>
    <n v="2"/>
    <x v="1"/>
    <x v="1"/>
    <x v="0"/>
  </r>
  <r>
    <n v="56"/>
    <x v="1"/>
    <s v="Non-Travel"/>
    <n v="667"/>
    <x v="1"/>
    <n v="1"/>
    <n v="4"/>
    <s v="Life Sciences"/>
    <n v="1"/>
    <n v="2026"/>
    <n v="3"/>
    <s v="Male"/>
    <n v="57"/>
    <n v="3"/>
    <n v="2"/>
    <x v="4"/>
    <n v="3"/>
    <s v="Divorced"/>
    <n v="6306"/>
    <n v="26236"/>
    <n v="1"/>
    <s v="Y"/>
    <x v="1"/>
    <n v="21"/>
    <n v="4"/>
    <n v="1"/>
    <n v="80"/>
    <n v="1"/>
    <n v="13"/>
    <n v="2"/>
    <n v="2"/>
    <n v="13"/>
    <n v="12"/>
    <n v="1"/>
    <n v="9"/>
    <x v="1"/>
    <x v="3"/>
    <x v="0"/>
  </r>
  <r>
    <n v="29"/>
    <x v="0"/>
    <s v="Travel_Rarely"/>
    <n v="1092"/>
    <x v="1"/>
    <n v="1"/>
    <n v="4"/>
    <s v="Medical"/>
    <n v="1"/>
    <n v="2027"/>
    <n v="1"/>
    <s v="Male"/>
    <n v="36"/>
    <n v="3"/>
    <n v="1"/>
    <x v="1"/>
    <n v="4"/>
    <s v="Married"/>
    <n v="4787"/>
    <n v="26124"/>
    <n v="9"/>
    <s v="Y"/>
    <x v="0"/>
    <n v="14"/>
    <n v="3"/>
    <n v="2"/>
    <n v="80"/>
    <n v="3"/>
    <n v="4"/>
    <n v="3"/>
    <n v="4"/>
    <n v="2"/>
    <n v="2"/>
    <n v="2"/>
    <n v="2"/>
    <x v="0"/>
    <x v="2"/>
    <x v="0"/>
  </r>
  <r>
    <n v="42"/>
    <x v="1"/>
    <s v="Travel_Rarely"/>
    <n v="300"/>
    <x v="1"/>
    <n v="2"/>
    <n v="3"/>
    <s v="Life Sciences"/>
    <n v="1"/>
    <n v="2031"/>
    <n v="1"/>
    <s v="Male"/>
    <n v="56"/>
    <n v="3"/>
    <n v="5"/>
    <x v="5"/>
    <n v="3"/>
    <s v="Married"/>
    <n v="18880"/>
    <n v="17312"/>
    <n v="5"/>
    <s v="Y"/>
    <x v="1"/>
    <n v="11"/>
    <n v="3"/>
    <n v="1"/>
    <n v="80"/>
    <n v="0"/>
    <n v="24"/>
    <n v="2"/>
    <n v="2"/>
    <n v="22"/>
    <n v="6"/>
    <n v="4"/>
    <n v="14"/>
    <x v="1"/>
    <x v="0"/>
    <x v="2"/>
  </r>
  <r>
    <n v="56"/>
    <x v="0"/>
    <s v="Travel_Rarely"/>
    <n v="310"/>
    <x v="1"/>
    <n v="7"/>
    <n v="2"/>
    <s v="Technical Degree"/>
    <n v="1"/>
    <n v="2032"/>
    <n v="4"/>
    <s v="Male"/>
    <n v="72"/>
    <n v="3"/>
    <n v="1"/>
    <x v="2"/>
    <n v="3"/>
    <s v="Married"/>
    <n v="2339"/>
    <n v="3666"/>
    <n v="8"/>
    <s v="Y"/>
    <x v="1"/>
    <n v="11"/>
    <n v="3"/>
    <n v="4"/>
    <n v="80"/>
    <n v="1"/>
    <n v="14"/>
    <n v="4"/>
    <n v="1"/>
    <n v="10"/>
    <n v="9"/>
    <n v="9"/>
    <n v="8"/>
    <x v="0"/>
    <x v="3"/>
    <x v="1"/>
  </r>
  <r>
    <n v="41"/>
    <x v="1"/>
    <s v="Travel_Rarely"/>
    <n v="582"/>
    <x v="1"/>
    <n v="28"/>
    <n v="4"/>
    <s v="Life Sciences"/>
    <n v="1"/>
    <n v="2034"/>
    <n v="1"/>
    <s v="Female"/>
    <n v="60"/>
    <n v="2"/>
    <n v="4"/>
    <x v="3"/>
    <n v="2"/>
    <s v="Married"/>
    <n v="13570"/>
    <n v="5640"/>
    <n v="0"/>
    <s v="Y"/>
    <x v="1"/>
    <n v="23"/>
    <n v="4"/>
    <n v="3"/>
    <n v="80"/>
    <n v="1"/>
    <n v="21"/>
    <n v="3"/>
    <n v="3"/>
    <n v="20"/>
    <n v="7"/>
    <n v="0"/>
    <n v="10"/>
    <x v="1"/>
    <x v="0"/>
    <x v="2"/>
  </r>
  <r>
    <n v="34"/>
    <x v="1"/>
    <s v="Travel_Rarely"/>
    <n v="704"/>
    <x v="0"/>
    <n v="28"/>
    <n v="3"/>
    <s v="Marketing"/>
    <n v="1"/>
    <n v="2035"/>
    <n v="4"/>
    <s v="Female"/>
    <n v="95"/>
    <n v="2"/>
    <n v="2"/>
    <x v="0"/>
    <n v="3"/>
    <s v="Married"/>
    <n v="6712"/>
    <n v="8978"/>
    <n v="1"/>
    <s v="Y"/>
    <x v="1"/>
    <n v="21"/>
    <n v="4"/>
    <n v="4"/>
    <n v="80"/>
    <n v="2"/>
    <n v="8"/>
    <n v="2"/>
    <n v="3"/>
    <n v="8"/>
    <n v="7"/>
    <n v="1"/>
    <n v="7"/>
    <x v="1"/>
    <x v="1"/>
    <x v="0"/>
  </r>
  <r>
    <n v="36"/>
    <x v="1"/>
    <s v="Non-Travel"/>
    <n v="301"/>
    <x v="0"/>
    <n v="15"/>
    <n v="4"/>
    <s v="Marketing"/>
    <n v="1"/>
    <n v="2036"/>
    <n v="4"/>
    <s v="Male"/>
    <n v="88"/>
    <n v="1"/>
    <n v="2"/>
    <x v="0"/>
    <n v="4"/>
    <s v="Divorced"/>
    <n v="5406"/>
    <n v="10436"/>
    <n v="1"/>
    <s v="Y"/>
    <x v="1"/>
    <n v="24"/>
    <n v="4"/>
    <n v="1"/>
    <n v="80"/>
    <n v="1"/>
    <n v="15"/>
    <n v="4"/>
    <n v="2"/>
    <n v="15"/>
    <n v="12"/>
    <n v="11"/>
    <n v="11"/>
    <x v="1"/>
    <x v="1"/>
    <x v="0"/>
  </r>
  <r>
    <n v="41"/>
    <x v="1"/>
    <s v="Travel_Rarely"/>
    <n v="930"/>
    <x v="0"/>
    <n v="3"/>
    <n v="3"/>
    <s v="Life Sciences"/>
    <n v="1"/>
    <n v="2037"/>
    <n v="3"/>
    <s v="Male"/>
    <n v="57"/>
    <n v="2"/>
    <n v="2"/>
    <x v="0"/>
    <n v="2"/>
    <s v="Divorced"/>
    <n v="8938"/>
    <n v="12227"/>
    <n v="2"/>
    <s v="Y"/>
    <x v="1"/>
    <n v="11"/>
    <n v="3"/>
    <n v="3"/>
    <n v="80"/>
    <n v="1"/>
    <n v="14"/>
    <n v="5"/>
    <n v="3"/>
    <n v="5"/>
    <n v="4"/>
    <n v="0"/>
    <n v="4"/>
    <x v="1"/>
    <x v="0"/>
    <x v="2"/>
  </r>
  <r>
    <n v="32"/>
    <x v="1"/>
    <s v="Travel_Rarely"/>
    <n v="529"/>
    <x v="1"/>
    <n v="2"/>
    <n v="3"/>
    <s v="Technical Degree"/>
    <n v="1"/>
    <n v="2038"/>
    <n v="4"/>
    <s v="Male"/>
    <n v="78"/>
    <n v="3"/>
    <n v="1"/>
    <x v="1"/>
    <n v="1"/>
    <s v="Single"/>
    <n v="2439"/>
    <n v="11288"/>
    <n v="1"/>
    <s v="Y"/>
    <x v="1"/>
    <n v="14"/>
    <n v="3"/>
    <n v="4"/>
    <n v="80"/>
    <n v="0"/>
    <n v="4"/>
    <n v="4"/>
    <n v="3"/>
    <n v="4"/>
    <n v="2"/>
    <n v="1"/>
    <n v="2"/>
    <x v="1"/>
    <x v="1"/>
    <x v="1"/>
  </r>
  <r>
    <n v="35"/>
    <x v="1"/>
    <s v="Travel_Rarely"/>
    <n v="1146"/>
    <x v="2"/>
    <n v="26"/>
    <n v="4"/>
    <s v="Life Sciences"/>
    <n v="1"/>
    <n v="2040"/>
    <n v="3"/>
    <s v="Female"/>
    <n v="31"/>
    <n v="3"/>
    <n v="3"/>
    <x v="8"/>
    <n v="4"/>
    <s v="Single"/>
    <n v="8837"/>
    <n v="16642"/>
    <n v="1"/>
    <s v="Y"/>
    <x v="0"/>
    <n v="16"/>
    <n v="3"/>
    <n v="3"/>
    <n v="80"/>
    <n v="0"/>
    <n v="9"/>
    <n v="2"/>
    <n v="3"/>
    <n v="9"/>
    <n v="0"/>
    <n v="1"/>
    <n v="7"/>
    <x v="1"/>
    <x v="1"/>
    <x v="2"/>
  </r>
  <r>
    <n v="38"/>
    <x v="1"/>
    <s v="Travel_Rarely"/>
    <n v="345"/>
    <x v="0"/>
    <n v="10"/>
    <n v="2"/>
    <s v="Life Sciences"/>
    <n v="1"/>
    <n v="2041"/>
    <n v="1"/>
    <s v="Female"/>
    <n v="100"/>
    <n v="3"/>
    <n v="2"/>
    <x v="0"/>
    <n v="4"/>
    <s v="Married"/>
    <n v="5343"/>
    <n v="5982"/>
    <n v="1"/>
    <s v="Y"/>
    <x v="1"/>
    <n v="11"/>
    <n v="3"/>
    <n v="3"/>
    <n v="80"/>
    <n v="1"/>
    <n v="10"/>
    <n v="1"/>
    <n v="3"/>
    <n v="10"/>
    <n v="7"/>
    <n v="1"/>
    <n v="9"/>
    <x v="1"/>
    <x v="1"/>
    <x v="0"/>
  </r>
  <r>
    <n v="50"/>
    <x v="0"/>
    <s v="Travel_Frequently"/>
    <n v="878"/>
    <x v="0"/>
    <n v="1"/>
    <n v="4"/>
    <s v="Life Sciences"/>
    <n v="1"/>
    <n v="2044"/>
    <n v="2"/>
    <s v="Male"/>
    <n v="94"/>
    <n v="3"/>
    <n v="2"/>
    <x v="0"/>
    <n v="3"/>
    <s v="Divorced"/>
    <n v="6728"/>
    <n v="14255"/>
    <n v="7"/>
    <s v="Y"/>
    <x v="1"/>
    <n v="12"/>
    <n v="3"/>
    <n v="4"/>
    <n v="80"/>
    <n v="2"/>
    <n v="12"/>
    <n v="3"/>
    <n v="3"/>
    <n v="6"/>
    <n v="3"/>
    <n v="0"/>
    <n v="1"/>
    <x v="0"/>
    <x v="3"/>
    <x v="0"/>
  </r>
  <r>
    <n v="36"/>
    <x v="1"/>
    <s v="Travel_Rarely"/>
    <n v="1120"/>
    <x v="0"/>
    <n v="11"/>
    <n v="4"/>
    <s v="Marketing"/>
    <n v="1"/>
    <n v="2045"/>
    <n v="2"/>
    <s v="Female"/>
    <n v="100"/>
    <n v="2"/>
    <n v="2"/>
    <x v="0"/>
    <n v="4"/>
    <s v="Married"/>
    <n v="6652"/>
    <n v="14369"/>
    <n v="4"/>
    <s v="Y"/>
    <x v="1"/>
    <n v="13"/>
    <n v="3"/>
    <n v="1"/>
    <n v="80"/>
    <n v="1"/>
    <n v="8"/>
    <n v="2"/>
    <n v="2"/>
    <n v="6"/>
    <n v="3"/>
    <n v="0"/>
    <n v="0"/>
    <x v="1"/>
    <x v="1"/>
    <x v="0"/>
  </r>
  <r>
    <n v="45"/>
    <x v="1"/>
    <s v="Travel_Rarely"/>
    <n v="374"/>
    <x v="0"/>
    <n v="20"/>
    <n v="3"/>
    <s v="Life Sciences"/>
    <n v="1"/>
    <n v="2046"/>
    <n v="4"/>
    <s v="Female"/>
    <n v="50"/>
    <n v="3"/>
    <n v="2"/>
    <x v="0"/>
    <n v="3"/>
    <s v="Single"/>
    <n v="4850"/>
    <n v="23333"/>
    <n v="8"/>
    <s v="Y"/>
    <x v="1"/>
    <n v="15"/>
    <n v="3"/>
    <n v="3"/>
    <n v="80"/>
    <n v="0"/>
    <n v="8"/>
    <n v="3"/>
    <n v="3"/>
    <n v="5"/>
    <n v="3"/>
    <n v="0"/>
    <n v="1"/>
    <x v="1"/>
    <x v="0"/>
    <x v="0"/>
  </r>
  <r>
    <n v="40"/>
    <x v="1"/>
    <s v="Travel_Rarely"/>
    <n v="1322"/>
    <x v="1"/>
    <n v="2"/>
    <n v="4"/>
    <s v="Life Sciences"/>
    <n v="1"/>
    <n v="2048"/>
    <n v="3"/>
    <s v="Male"/>
    <n v="52"/>
    <n v="2"/>
    <n v="1"/>
    <x v="1"/>
    <n v="3"/>
    <s v="Single"/>
    <n v="2809"/>
    <n v="2725"/>
    <n v="2"/>
    <s v="Y"/>
    <x v="1"/>
    <n v="14"/>
    <n v="3"/>
    <n v="4"/>
    <n v="80"/>
    <n v="0"/>
    <n v="8"/>
    <n v="2"/>
    <n v="3"/>
    <n v="2"/>
    <n v="2"/>
    <n v="2"/>
    <n v="2"/>
    <x v="1"/>
    <x v="0"/>
    <x v="1"/>
  </r>
  <r>
    <n v="35"/>
    <x v="1"/>
    <s v="Travel_Frequently"/>
    <n v="1199"/>
    <x v="1"/>
    <n v="18"/>
    <n v="4"/>
    <s v="Life Sciences"/>
    <n v="1"/>
    <n v="2049"/>
    <n v="3"/>
    <s v="Male"/>
    <n v="80"/>
    <n v="3"/>
    <n v="2"/>
    <x v="4"/>
    <n v="3"/>
    <s v="Married"/>
    <n v="5689"/>
    <n v="24594"/>
    <n v="1"/>
    <s v="Y"/>
    <x v="0"/>
    <n v="14"/>
    <n v="3"/>
    <n v="4"/>
    <n v="80"/>
    <n v="2"/>
    <n v="10"/>
    <n v="2"/>
    <n v="4"/>
    <n v="10"/>
    <n v="2"/>
    <n v="0"/>
    <n v="2"/>
    <x v="1"/>
    <x v="1"/>
    <x v="0"/>
  </r>
  <r>
    <n v="40"/>
    <x v="1"/>
    <s v="Travel_Rarely"/>
    <n v="1194"/>
    <x v="1"/>
    <n v="2"/>
    <n v="4"/>
    <s v="Medical"/>
    <n v="1"/>
    <n v="2051"/>
    <n v="3"/>
    <s v="Female"/>
    <n v="98"/>
    <n v="3"/>
    <n v="1"/>
    <x v="1"/>
    <n v="3"/>
    <s v="Married"/>
    <n v="2001"/>
    <n v="12549"/>
    <n v="2"/>
    <s v="Y"/>
    <x v="1"/>
    <n v="14"/>
    <n v="3"/>
    <n v="2"/>
    <n v="80"/>
    <n v="3"/>
    <n v="20"/>
    <n v="2"/>
    <n v="3"/>
    <n v="5"/>
    <n v="3"/>
    <n v="0"/>
    <n v="2"/>
    <x v="1"/>
    <x v="0"/>
    <x v="1"/>
  </r>
  <r>
    <n v="35"/>
    <x v="1"/>
    <s v="Travel_Rarely"/>
    <n v="287"/>
    <x v="1"/>
    <n v="1"/>
    <n v="4"/>
    <s v="Life Sciences"/>
    <n v="1"/>
    <n v="2052"/>
    <n v="3"/>
    <s v="Female"/>
    <n v="62"/>
    <n v="1"/>
    <n v="1"/>
    <x v="1"/>
    <n v="4"/>
    <s v="Married"/>
    <n v="2977"/>
    <n v="8952"/>
    <n v="1"/>
    <s v="Y"/>
    <x v="1"/>
    <n v="12"/>
    <n v="3"/>
    <n v="4"/>
    <n v="80"/>
    <n v="1"/>
    <n v="4"/>
    <n v="5"/>
    <n v="3"/>
    <n v="4"/>
    <n v="3"/>
    <n v="1"/>
    <n v="1"/>
    <x v="1"/>
    <x v="1"/>
    <x v="1"/>
  </r>
  <r>
    <n v="29"/>
    <x v="1"/>
    <s v="Travel_Rarely"/>
    <n v="1378"/>
    <x v="1"/>
    <n v="13"/>
    <n v="2"/>
    <s v="Other"/>
    <n v="1"/>
    <n v="2053"/>
    <n v="4"/>
    <s v="Male"/>
    <n v="46"/>
    <n v="2"/>
    <n v="2"/>
    <x v="2"/>
    <n v="2"/>
    <s v="Married"/>
    <n v="4025"/>
    <n v="23679"/>
    <n v="4"/>
    <s v="Y"/>
    <x v="0"/>
    <n v="13"/>
    <n v="3"/>
    <n v="1"/>
    <n v="80"/>
    <n v="1"/>
    <n v="10"/>
    <n v="2"/>
    <n v="3"/>
    <n v="4"/>
    <n v="3"/>
    <n v="0"/>
    <n v="3"/>
    <x v="1"/>
    <x v="2"/>
    <x v="0"/>
  </r>
  <r>
    <n v="29"/>
    <x v="1"/>
    <s v="Travel_Rarely"/>
    <n v="468"/>
    <x v="1"/>
    <n v="28"/>
    <n v="4"/>
    <s v="Medical"/>
    <n v="1"/>
    <n v="2054"/>
    <n v="4"/>
    <s v="Female"/>
    <n v="73"/>
    <n v="2"/>
    <n v="1"/>
    <x v="1"/>
    <n v="1"/>
    <s v="Single"/>
    <n v="3785"/>
    <n v="8489"/>
    <n v="1"/>
    <s v="Y"/>
    <x v="1"/>
    <n v="14"/>
    <n v="3"/>
    <n v="2"/>
    <n v="80"/>
    <n v="0"/>
    <n v="5"/>
    <n v="3"/>
    <n v="1"/>
    <n v="5"/>
    <n v="4"/>
    <n v="0"/>
    <n v="4"/>
    <x v="1"/>
    <x v="2"/>
    <x v="0"/>
  </r>
  <r>
    <n v="50"/>
    <x v="0"/>
    <s v="Travel_Rarely"/>
    <n v="410"/>
    <x v="0"/>
    <n v="28"/>
    <n v="3"/>
    <s v="Marketing"/>
    <n v="1"/>
    <n v="2055"/>
    <n v="4"/>
    <s v="Male"/>
    <n v="39"/>
    <n v="2"/>
    <n v="3"/>
    <x v="0"/>
    <n v="1"/>
    <s v="Divorced"/>
    <n v="10854"/>
    <n v="16586"/>
    <n v="4"/>
    <s v="Y"/>
    <x v="0"/>
    <n v="13"/>
    <n v="3"/>
    <n v="2"/>
    <n v="80"/>
    <n v="1"/>
    <n v="20"/>
    <n v="3"/>
    <n v="3"/>
    <n v="3"/>
    <n v="2"/>
    <n v="2"/>
    <n v="0"/>
    <x v="0"/>
    <x v="3"/>
    <x v="2"/>
  </r>
  <r>
    <n v="39"/>
    <x v="1"/>
    <s v="Travel_Rarely"/>
    <n v="722"/>
    <x v="0"/>
    <n v="24"/>
    <n v="1"/>
    <s v="Marketing"/>
    <n v="1"/>
    <n v="2056"/>
    <n v="2"/>
    <s v="Female"/>
    <n v="60"/>
    <n v="2"/>
    <n v="4"/>
    <x v="0"/>
    <n v="4"/>
    <s v="Married"/>
    <n v="12031"/>
    <n v="8828"/>
    <n v="0"/>
    <s v="Y"/>
    <x v="1"/>
    <n v="11"/>
    <n v="3"/>
    <n v="1"/>
    <n v="80"/>
    <n v="1"/>
    <n v="21"/>
    <n v="2"/>
    <n v="2"/>
    <n v="20"/>
    <n v="9"/>
    <n v="9"/>
    <n v="6"/>
    <x v="1"/>
    <x v="1"/>
    <x v="2"/>
  </r>
  <r>
    <n v="31"/>
    <x v="1"/>
    <s v="Non-Travel"/>
    <n v="325"/>
    <x v="1"/>
    <n v="5"/>
    <n v="3"/>
    <s v="Medical"/>
    <n v="1"/>
    <n v="2057"/>
    <n v="2"/>
    <s v="Male"/>
    <n v="74"/>
    <n v="3"/>
    <n v="2"/>
    <x v="3"/>
    <n v="1"/>
    <s v="Single"/>
    <n v="9936"/>
    <n v="3787"/>
    <n v="0"/>
    <s v="Y"/>
    <x v="1"/>
    <n v="19"/>
    <n v="3"/>
    <n v="2"/>
    <n v="80"/>
    <n v="0"/>
    <n v="10"/>
    <n v="2"/>
    <n v="3"/>
    <n v="9"/>
    <n v="4"/>
    <n v="1"/>
    <n v="7"/>
    <x v="1"/>
    <x v="1"/>
    <x v="2"/>
  </r>
  <r>
    <n v="26"/>
    <x v="1"/>
    <s v="Travel_Rarely"/>
    <n v="1167"/>
    <x v="0"/>
    <n v="5"/>
    <n v="3"/>
    <s v="Other"/>
    <n v="1"/>
    <n v="2060"/>
    <n v="4"/>
    <s v="Female"/>
    <n v="30"/>
    <n v="2"/>
    <n v="1"/>
    <x v="6"/>
    <n v="3"/>
    <s v="Single"/>
    <n v="2966"/>
    <n v="21378"/>
    <n v="0"/>
    <s v="Y"/>
    <x v="1"/>
    <n v="18"/>
    <n v="3"/>
    <n v="4"/>
    <n v="80"/>
    <n v="0"/>
    <n v="5"/>
    <n v="2"/>
    <n v="3"/>
    <n v="4"/>
    <n v="2"/>
    <n v="0"/>
    <n v="0"/>
    <x v="1"/>
    <x v="2"/>
    <x v="1"/>
  </r>
  <r>
    <n v="36"/>
    <x v="1"/>
    <s v="Travel_Frequently"/>
    <n v="884"/>
    <x v="1"/>
    <n v="23"/>
    <n v="2"/>
    <s v="Medical"/>
    <n v="1"/>
    <n v="2061"/>
    <n v="3"/>
    <s v="Male"/>
    <n v="41"/>
    <n v="4"/>
    <n v="2"/>
    <x v="2"/>
    <n v="4"/>
    <s v="Married"/>
    <n v="2571"/>
    <n v="12290"/>
    <n v="4"/>
    <s v="Y"/>
    <x v="1"/>
    <n v="17"/>
    <n v="3"/>
    <n v="3"/>
    <n v="80"/>
    <n v="1"/>
    <n v="17"/>
    <n v="3"/>
    <n v="3"/>
    <n v="5"/>
    <n v="2"/>
    <n v="0"/>
    <n v="3"/>
    <x v="1"/>
    <x v="1"/>
    <x v="1"/>
  </r>
  <r>
    <n v="39"/>
    <x v="1"/>
    <s v="Travel_Rarely"/>
    <n v="613"/>
    <x v="1"/>
    <n v="6"/>
    <n v="1"/>
    <s v="Medical"/>
    <n v="1"/>
    <n v="2062"/>
    <n v="4"/>
    <s v="Male"/>
    <n v="42"/>
    <n v="2"/>
    <n v="3"/>
    <x v="4"/>
    <n v="1"/>
    <s v="Married"/>
    <n v="9991"/>
    <n v="21457"/>
    <n v="4"/>
    <s v="Y"/>
    <x v="1"/>
    <n v="15"/>
    <n v="3"/>
    <n v="1"/>
    <n v="80"/>
    <n v="1"/>
    <n v="9"/>
    <n v="5"/>
    <n v="3"/>
    <n v="7"/>
    <n v="7"/>
    <n v="1"/>
    <n v="7"/>
    <x v="1"/>
    <x v="1"/>
    <x v="2"/>
  </r>
  <r>
    <n v="27"/>
    <x v="1"/>
    <s v="Travel_Rarely"/>
    <n v="155"/>
    <x v="1"/>
    <n v="4"/>
    <n v="3"/>
    <s v="Life Sciences"/>
    <n v="1"/>
    <n v="2064"/>
    <n v="2"/>
    <s v="Male"/>
    <n v="87"/>
    <n v="4"/>
    <n v="2"/>
    <x v="3"/>
    <n v="2"/>
    <s v="Married"/>
    <n v="6142"/>
    <n v="5174"/>
    <n v="1"/>
    <s v="Y"/>
    <x v="0"/>
    <n v="20"/>
    <n v="4"/>
    <n v="2"/>
    <n v="80"/>
    <n v="1"/>
    <n v="6"/>
    <n v="0"/>
    <n v="3"/>
    <n v="6"/>
    <n v="2"/>
    <n v="0"/>
    <n v="3"/>
    <x v="1"/>
    <x v="2"/>
    <x v="0"/>
  </r>
  <r>
    <n v="49"/>
    <x v="1"/>
    <s v="Travel_Frequently"/>
    <n v="1023"/>
    <x v="0"/>
    <n v="2"/>
    <n v="3"/>
    <s v="Medical"/>
    <n v="1"/>
    <n v="2065"/>
    <n v="4"/>
    <s v="Male"/>
    <n v="63"/>
    <n v="2"/>
    <n v="2"/>
    <x v="0"/>
    <n v="2"/>
    <s v="Married"/>
    <n v="5390"/>
    <n v="13243"/>
    <n v="2"/>
    <s v="Y"/>
    <x v="1"/>
    <n v="14"/>
    <n v="3"/>
    <n v="4"/>
    <n v="80"/>
    <n v="0"/>
    <n v="17"/>
    <n v="3"/>
    <n v="2"/>
    <n v="9"/>
    <n v="6"/>
    <n v="0"/>
    <n v="8"/>
    <x v="1"/>
    <x v="0"/>
    <x v="0"/>
  </r>
  <r>
    <n v="34"/>
    <x v="1"/>
    <s v="Travel_Rarely"/>
    <n v="628"/>
    <x v="1"/>
    <n v="8"/>
    <n v="3"/>
    <s v="Medical"/>
    <n v="1"/>
    <n v="2068"/>
    <n v="2"/>
    <s v="Male"/>
    <n v="82"/>
    <n v="4"/>
    <n v="2"/>
    <x v="2"/>
    <n v="3"/>
    <s v="Married"/>
    <n v="4404"/>
    <n v="10228"/>
    <n v="2"/>
    <s v="Y"/>
    <x v="1"/>
    <n v="12"/>
    <n v="3"/>
    <n v="1"/>
    <n v="80"/>
    <n v="0"/>
    <n v="6"/>
    <n v="3"/>
    <n v="4"/>
    <n v="4"/>
    <n v="3"/>
    <n v="1"/>
    <n v="2"/>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B4541-4938-49D4-A028-C9BDBE0B5A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D45" firstHeaderRow="1" firstDataRow="1"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BE48C3-65CD-4001-9F71-985C567D13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2:F16"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37"/>
  </rowFields>
  <rowItems count="4">
    <i>
      <x v="1"/>
    </i>
    <i>
      <x v="2"/>
    </i>
    <i>
      <x/>
    </i>
    <i t="grand">
      <x/>
    </i>
  </rowItems>
  <colItems count="1">
    <i/>
  </colItems>
  <dataFields count="1">
    <dataField name="Sum of Attrition Flag" fld="35" baseField="0"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7" count="1" selected="0">
            <x v="0"/>
          </reference>
        </references>
      </pivotArea>
    </chartFormat>
    <chartFormat chart="2" format="3">
      <pivotArea type="data" outline="0" fieldPosition="0">
        <references count="2">
          <reference field="4294967294" count="1" selected="0">
            <x v="0"/>
          </reference>
          <reference field="37" count="1" selected="0">
            <x v="1"/>
          </reference>
        </references>
      </pivotArea>
    </chartFormat>
    <chartFormat chart="2" format="4">
      <pivotArea type="data" outline="0" fieldPosition="0">
        <references count="2">
          <reference field="4294967294" count="1" selected="0">
            <x v="0"/>
          </reference>
          <reference field="3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2A2E9-41E9-43A8-A909-176BEA9CF7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8"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s>
  <rowFields count="1">
    <field x="36"/>
  </rowFields>
  <rowItems count="5">
    <i>
      <x v="3"/>
    </i>
    <i>
      <x v="1"/>
    </i>
    <i>
      <x/>
    </i>
    <i>
      <x v="2"/>
    </i>
    <i t="grand">
      <x/>
    </i>
  </rowItems>
  <colItems count="1">
    <i/>
  </colItems>
  <dataFields count="1">
    <dataField name="Sum of Attrition Flag" fld="3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3E6079-18E0-4A7B-829F-6871650137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C22" firstHeaderRow="1" firstDataRow="1" firstDataCol="1"/>
  <pivotFields count="38">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s>
  <rowFields count="1">
    <field x="15"/>
  </rowFields>
  <rowItems count="10">
    <i>
      <x v="2"/>
    </i>
    <i>
      <x v="7"/>
    </i>
    <i>
      <x v="6"/>
    </i>
    <i>
      <x v="8"/>
    </i>
    <i>
      <x v="1"/>
    </i>
    <i>
      <x v="4"/>
    </i>
    <i>
      <x/>
    </i>
    <i>
      <x v="3"/>
    </i>
    <i>
      <x v="5"/>
    </i>
    <i t="grand">
      <x/>
    </i>
  </rowItems>
  <colItems count="1">
    <i/>
  </colItems>
  <dataFields count="1">
    <dataField name="Sum of Attrition Flag" fld="3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12D6E9-DADF-4F51-AE33-46D4CEAD31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7" firstHeaderRow="1" firstDataRow="1" firstDataCol="1"/>
  <pivotFields count="38">
    <pivotField showAll="0"/>
    <pivotField multipleItemSelectionAllowed="1" showAll="0">
      <items count="3">
        <item h="1" x="1"/>
        <item x="0"/>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v="1"/>
    </i>
    <i>
      <x v="2"/>
    </i>
    <i>
      <x/>
    </i>
    <i t="grand">
      <x/>
    </i>
  </rowItems>
  <colItems count="1">
    <i/>
  </colItems>
  <dataFields count="1">
    <dataField name="Sum of Attrition Flag" fld="35"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BCF491-9585-414F-A806-31829223A9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0:F23"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2"/>
  </rowFields>
  <rowItems count="3">
    <i>
      <x/>
    </i>
    <i>
      <x v="1"/>
    </i>
    <i t="grand">
      <x/>
    </i>
  </rowItems>
  <colItems count="1">
    <i/>
  </colItems>
  <dataFields count="1">
    <dataField name="Sum of Attrition Flag" fld="35"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2" count="1" selected="0">
            <x v="0"/>
          </reference>
        </references>
      </pivotArea>
    </chartFormat>
    <chartFormat chart="2"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244389-233D-49D0-9F2D-529BC0EDF36A}" sourceName="Department">
  <pivotTables>
    <pivotTable tabId="4" name="PivotTable1"/>
  </pivotTables>
  <data>
    <tabular pivotCacheId="76729232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4A14B30-9225-43C2-A8D1-79EF3D311897}" sourceName="JobRole">
  <pivotTables>
    <pivotTable tabId="4" name="PivotTable2"/>
  </pivotTables>
  <data>
    <tabular pivotCacheId="767292327">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2C805B-6F6E-42CC-8465-E9EC0655C74B}" sourceName="Age Group">
  <pivotTables>
    <pivotTable tabId="4" name="PivotTable3"/>
  </pivotTables>
  <data>
    <tabular pivotCacheId="76729232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1947C5E-5B4F-4D7C-8A69-52BA7E5491E8}" cache="Slicer_Department" caption="Department" rowHeight="234950"/>
  <slicer name="JobRole" xr10:uid="{C5973540-B216-4F02-8BAA-904128BC691B}" cache="Slicer_JobRole" caption="JobRole" rowHeight="234950"/>
  <slicer name="Age Group" xr10:uid="{2DDF2408-50D8-4AA1-91E3-D5B40F7B976C}"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92C3E-ABC6-4621-AC17-0317F13F0EE7}" name="Table1" displayName="Table1" ref="A1:AL1471" totalsRowShown="0">
  <autoFilter ref="A1:AL1471" xr:uid="{09092C3E-ABC6-4621-AC17-0317F13F0EE7}"/>
  <tableColumns count="38">
    <tableColumn id="1" xr3:uid="{4CC33A2B-B9F0-4270-B7D0-1964526302DB}" name="Age"/>
    <tableColumn id="2" xr3:uid="{C83B5B69-AB4C-4601-B14F-9379BFBF2596}" name="Attrition"/>
    <tableColumn id="3" xr3:uid="{75BF9490-E5DE-4E84-9FEA-269D6364C2B7}" name="BusinessTravel"/>
    <tableColumn id="4" xr3:uid="{0C381B8B-2530-42D1-8DB7-99AFF4856801}" name="DailyRate"/>
    <tableColumn id="5" xr3:uid="{EFEB0C2D-0588-47C0-A9DE-4381E9DFE0C7}" name="Department"/>
    <tableColumn id="6" xr3:uid="{5C98B698-FCE6-4719-BFFF-69D6E00FFBF0}" name="DistanceFromHome"/>
    <tableColumn id="7" xr3:uid="{AD2A9A3F-21D5-49E7-89FE-59CF2A3A2FAB}" name="Education"/>
    <tableColumn id="8" xr3:uid="{8892B995-712C-4EFD-B9D5-3802AAB5C13D}" name="EducationField"/>
    <tableColumn id="9" xr3:uid="{E0443DF6-D3CA-44BF-8A0F-F1BFE56437BF}" name="EmployeeCount"/>
    <tableColumn id="10" xr3:uid="{FE04EEC9-D97C-466D-9BC2-346C47063074}" name="EmployeeNumber"/>
    <tableColumn id="11" xr3:uid="{08B90224-F727-4F28-9C3D-C52C2E9DB6ED}" name="EnvironmentSatisfaction"/>
    <tableColumn id="12" xr3:uid="{A9DD974F-8E15-4DB4-804E-8234E6C2E166}" name="Gender"/>
    <tableColumn id="13" xr3:uid="{B1AB3CC8-B48D-421E-A5FD-B81D186026E7}" name="HourlyRate"/>
    <tableColumn id="14" xr3:uid="{F6ADF23A-A530-42EF-A606-E71EA788C3B2}" name="JobInvolvement"/>
    <tableColumn id="15" xr3:uid="{BFB4DA84-9551-4C94-A4C9-86F22D8FBC9A}" name="JobLevel"/>
    <tableColumn id="16" xr3:uid="{04345DBF-3D5C-4DCB-AB70-6C4CB791F96A}" name="JobRole"/>
    <tableColumn id="17" xr3:uid="{91E5A214-0742-48F1-9576-BE21D7D8107C}" name="JobSatisfaction"/>
    <tableColumn id="18" xr3:uid="{FC2D1666-0B6B-40ED-A5D0-B8B5946F2890}" name="MaritalStatus"/>
    <tableColumn id="19" xr3:uid="{AADE5CC6-6F62-4600-8016-E9608675E544}" name="MonthlyIncome"/>
    <tableColumn id="20" xr3:uid="{4CDA7A72-8DC8-409C-A08E-CE8EF147289F}" name="MonthlyRate"/>
    <tableColumn id="21" xr3:uid="{407C91FC-AC82-42E4-803D-44F0F7402599}" name="NumCompaniesWorked"/>
    <tableColumn id="22" xr3:uid="{5266A0C4-5A73-4B3B-B62F-AF247B45B07A}" name="Over18"/>
    <tableColumn id="23" xr3:uid="{F49163E8-B02D-48F7-AA07-14BEEE7B50F0}" name="OverTime"/>
    <tableColumn id="24" xr3:uid="{17F7DB60-51F9-4302-A30A-FE6F84635B5C}" name="PercentSalaryHike"/>
    <tableColumn id="25" xr3:uid="{3AE3CF3F-91B7-432E-8C99-9374105CB5B6}" name="PerformanceRating"/>
    <tableColumn id="26" xr3:uid="{277FBD69-16CB-4B8F-9CC8-355178A77EA4}" name="RelationshipSatisfaction"/>
    <tableColumn id="27" xr3:uid="{D092BCF9-D3FF-453C-97E4-DC9C93270490}" name="StandardHours"/>
    <tableColumn id="28" xr3:uid="{A4689AA8-1C0E-416D-9779-6362C8F7FB32}" name="StockOptionLevel"/>
    <tableColumn id="29" xr3:uid="{BC5F00BB-95B2-47BF-B08D-F411270C74ED}" name="TotalWorkingYears"/>
    <tableColumn id="30" xr3:uid="{89B28BDB-CED7-49F4-9915-374CA9CEE5BB}" name="TrainingTimesLastYear"/>
    <tableColumn id="31" xr3:uid="{0B495291-5A26-4536-8FAF-E0E374BB8DC9}" name="WorkLifeBalance"/>
    <tableColumn id="32" xr3:uid="{E82C2AD6-C871-4F86-9AA2-04D283C53345}" name="YearsAtCompany"/>
    <tableColumn id="33" xr3:uid="{33833675-5EBA-4DEB-893E-3CF216DFC729}" name="YearsInCurrentRole"/>
    <tableColumn id="34" xr3:uid="{146BAD6F-FA76-4B5F-BB6C-68DE390C87FD}" name="YearsSinceLastPromotion"/>
    <tableColumn id="35" xr3:uid="{3C11BF3C-2993-43F6-87F1-7BC6475D0EB6}" name="YearsWithCurrManager"/>
    <tableColumn id="37" xr3:uid="{CAB4B9B6-44C3-4019-84E6-498BF05D7016}" name="Attrition Flag" dataDxfId="2">
      <calculatedColumnFormula>IF(Table1[[#This Row],[Attrition]]="Yes",1,0)</calculatedColumnFormula>
    </tableColumn>
    <tableColumn id="38" xr3:uid="{E76E0262-2902-40B2-AFE7-E0363CA05E83}" name="Age Group" dataDxfId="1">
      <calculatedColumnFormula>IF(A2&lt;30,"Young",
IF(A2&lt;40,"Mid Career",
IF(A2&lt;50,"Experienced","Senior")))</calculatedColumnFormula>
    </tableColumn>
    <tableColumn id="39" xr3:uid="{7FF346D2-757E-4A0B-BDA4-4FB9F3E43323}" name="Income Group" dataDxfId="0">
      <calculatedColumnFormula>IF(S2&lt;3000,"Low Income",IF(S2&lt;7000,"Medium Income","High Income"))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87F-F7CE-4E1C-A54D-F2939FB69C5E}">
  <dimension ref="A1:AI1471"/>
  <sheetViews>
    <sheetView topLeftCell="R1" workbookViewId="0">
      <selection sqref="A1:AI1471"/>
    </sheetView>
  </sheetViews>
  <sheetFormatPr defaultRowHeight="14.4" x14ac:dyDescent="0.3"/>
  <cols>
    <col min="3" max="3" width="15.6640625" bestFit="1" customWidth="1"/>
    <col min="4" max="4" width="8.77734375" bestFit="1" customWidth="1"/>
    <col min="5" max="5" width="21.88671875" bestFit="1" customWidth="1"/>
    <col min="6" max="6" width="17.33203125" bestFit="1" customWidth="1"/>
    <col min="7" max="7" width="9.109375" bestFit="1" customWidth="1"/>
    <col min="8" max="8" width="15.6640625" bestFit="1" customWidth="1"/>
    <col min="9" max="9" width="14" bestFit="1" customWidth="1"/>
    <col min="10" max="10" width="15.6640625" bestFit="1" customWidth="1"/>
    <col min="11" max="11" width="21.109375" bestFit="1" customWidth="1"/>
    <col min="13" max="13" width="10.109375" bestFit="1" customWidth="1"/>
    <col min="14" max="14" width="14" bestFit="1" customWidth="1"/>
    <col min="16" max="16" width="22.88671875" bestFit="1" customWidth="1"/>
    <col min="17" max="17" width="13.44140625" bestFit="1" customWidth="1"/>
    <col min="18" max="18" width="11.88671875" bestFit="1" customWidth="1"/>
    <col min="19" max="19" width="14" bestFit="1" customWidth="1"/>
    <col min="20" max="20" width="11.5546875" bestFit="1" customWidth="1"/>
    <col min="21" max="21" width="20.5546875" bestFit="1" customWidth="1"/>
    <col min="24" max="24" width="15.77734375" bestFit="1" customWidth="1"/>
    <col min="25" max="25" width="16.77734375" bestFit="1" customWidth="1"/>
    <col min="26" max="26" width="20.77734375" bestFit="1" customWidth="1"/>
    <col min="27" max="27" width="13.109375" bestFit="1" customWidth="1"/>
    <col min="28" max="28" width="15.33203125" bestFit="1" customWidth="1"/>
    <col min="29" max="29" width="16.5546875" bestFit="1" customWidth="1"/>
    <col min="30" max="30" width="19.44140625" bestFit="1" customWidth="1"/>
    <col min="31" max="32" width="15" bestFit="1" customWidth="1"/>
    <col min="33" max="33" width="16.88671875" bestFit="1" customWidth="1"/>
    <col min="34" max="34" width="22" bestFit="1" customWidth="1"/>
    <col min="35" max="35" width="20.218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B2E8-0961-4144-AE22-44BA5F90266C}">
  <dimension ref="A1:C34"/>
  <sheetViews>
    <sheetView zoomScale="88" workbookViewId="0">
      <selection activeCell="B6" sqref="B6"/>
    </sheetView>
  </sheetViews>
  <sheetFormatPr defaultRowHeight="14.4" x14ac:dyDescent="0.3"/>
  <cols>
    <col min="1" max="1" width="16.77734375" bestFit="1" customWidth="1"/>
    <col min="2" max="2" width="13.109375" bestFit="1" customWidth="1"/>
  </cols>
  <sheetData>
    <row r="1" spans="1:3" x14ac:dyDescent="0.3">
      <c r="A1" t="s">
        <v>62</v>
      </c>
      <c r="B1" t="s">
        <v>63</v>
      </c>
    </row>
    <row r="2" spans="1:3" x14ac:dyDescent="0.3">
      <c r="A2" t="s">
        <v>64</v>
      </c>
      <c r="B2">
        <f>COUNTA(raw_data!A1:A1471)</f>
        <v>1471</v>
      </c>
    </row>
    <row r="3" spans="1:3" x14ac:dyDescent="0.3">
      <c r="A3" t="s">
        <v>65</v>
      </c>
      <c r="B3">
        <f>COUNTA(raw_data!A1:AI2)</f>
        <v>70</v>
      </c>
    </row>
    <row r="4" spans="1:3" x14ac:dyDescent="0.3">
      <c r="A4" t="s">
        <v>78</v>
      </c>
      <c r="B4">
        <f>COUNTA(raw_data!J2:J1471)</f>
        <v>1470</v>
      </c>
    </row>
    <row r="5" spans="1:3" x14ac:dyDescent="0.3">
      <c r="A5" t="s">
        <v>80</v>
      </c>
      <c r="B5">
        <f>B4-B9</f>
        <v>1233</v>
      </c>
    </row>
    <row r="6" spans="1:3" x14ac:dyDescent="0.3">
      <c r="A6" t="s">
        <v>79</v>
      </c>
      <c r="B6" s="19">
        <f>(B9/B4)</f>
        <v>0.16122448979591836</v>
      </c>
    </row>
    <row r="7" spans="1:3" x14ac:dyDescent="0.3">
      <c r="A7" t="s">
        <v>67</v>
      </c>
      <c r="B7">
        <f>COUNTA(_xlfn.UNIQUE(raw_data!E2:E1471))</f>
        <v>3</v>
      </c>
    </row>
    <row r="8" spans="1:3" x14ac:dyDescent="0.3">
      <c r="A8" t="s">
        <v>68</v>
      </c>
      <c r="B8">
        <f>COUNTA(_xlfn.UNIQUE(raw_data!P2:P1471))</f>
        <v>9</v>
      </c>
    </row>
    <row r="9" spans="1:3" x14ac:dyDescent="0.3">
      <c r="A9" t="s">
        <v>69</v>
      </c>
      <c r="B9">
        <f>COUNTIF(raw_data!B2:B1471,"Yes")</f>
        <v>237</v>
      </c>
    </row>
    <row r="10" spans="1:3" x14ac:dyDescent="0.3">
      <c r="A10" t="s">
        <v>70</v>
      </c>
      <c r="B10" s="17">
        <f>AVERAGE(raw_data!S2:S1471)</f>
        <v>6502.931292517007</v>
      </c>
      <c r="C10" t="s">
        <v>72</v>
      </c>
    </row>
    <row r="11" spans="1:3" x14ac:dyDescent="0.3">
      <c r="A11" t="s">
        <v>71</v>
      </c>
      <c r="B11" s="17">
        <f>AVERAGE(raw_data!A2:A1471)</f>
        <v>36.923809523809524</v>
      </c>
    </row>
    <row r="14" spans="1:3" x14ac:dyDescent="0.3">
      <c r="A14" s="1" t="s">
        <v>66</v>
      </c>
    </row>
    <row r="15" spans="1:3" x14ac:dyDescent="0.3">
      <c r="A15" s="2" t="s">
        <v>73</v>
      </c>
      <c r="B15" s="2" t="s">
        <v>74</v>
      </c>
    </row>
    <row r="16" spans="1:3" x14ac:dyDescent="0.3">
      <c r="A16" s="3" t="s">
        <v>0</v>
      </c>
      <c r="B16" s="3">
        <f>COUNTBLANK(raw_data!A2:A1471)</f>
        <v>0</v>
      </c>
    </row>
    <row r="17" spans="1:3" x14ac:dyDescent="0.3">
      <c r="A17" s="4" t="s">
        <v>1</v>
      </c>
      <c r="B17" s="4">
        <f>COUNTBLANK(raw_data!B2:B1471)</f>
        <v>0</v>
      </c>
    </row>
    <row r="18" spans="1:3" x14ac:dyDescent="0.3">
      <c r="A18" s="4" t="s">
        <v>4</v>
      </c>
      <c r="B18" s="4">
        <f>COUNTBLANK(raw_data!E2:E1471)</f>
        <v>0</v>
      </c>
    </row>
    <row r="19" spans="1:3" x14ac:dyDescent="0.3">
      <c r="A19" s="4" t="s">
        <v>15</v>
      </c>
      <c r="B19" s="4">
        <f>COUNTBLANK(raw_data!P2:P1471)</f>
        <v>0</v>
      </c>
    </row>
    <row r="20" spans="1:3" x14ac:dyDescent="0.3">
      <c r="A20" s="5" t="s">
        <v>18</v>
      </c>
      <c r="B20" s="5">
        <f>COUNTBLANK(raw_data!S2:S1471)</f>
        <v>0</v>
      </c>
    </row>
    <row r="22" spans="1:3" x14ac:dyDescent="0.3">
      <c r="A22" s="1" t="s">
        <v>75</v>
      </c>
    </row>
    <row r="23" spans="1:3" x14ac:dyDescent="0.3">
      <c r="A23" t="s">
        <v>76</v>
      </c>
      <c r="B23">
        <f>COUNTA(raw_data!J2:J1471)</f>
        <v>1470</v>
      </c>
    </row>
    <row r="24" spans="1:3" x14ac:dyDescent="0.3">
      <c r="A24" t="s">
        <v>77</v>
      </c>
      <c r="B24">
        <f>COUNTA(_xlfn.UNIQUE(raw_data!J2:J1471))</f>
        <v>1470</v>
      </c>
    </row>
    <row r="27" spans="1:3" x14ac:dyDescent="0.3">
      <c r="A27" s="1" t="s">
        <v>81</v>
      </c>
    </row>
    <row r="28" spans="1:3" x14ac:dyDescent="0.3">
      <c r="A28" t="s">
        <v>4</v>
      </c>
      <c r="B28">
        <f>COUNTIFS(raw_data!B2:B1471,"Yes",raw_data!E2:E1471,"sales")</f>
        <v>92</v>
      </c>
      <c r="C28" t="s">
        <v>85</v>
      </c>
    </row>
    <row r="29" spans="1:3" x14ac:dyDescent="0.3">
      <c r="B29">
        <f>COUNTIFS(raw_data!B2:B1471,"Yes",raw_data!E2:E1471,"Human Resources")</f>
        <v>12</v>
      </c>
      <c r="C29" t="s">
        <v>86</v>
      </c>
    </row>
    <row r="30" spans="1:3" x14ac:dyDescent="0.3">
      <c r="B30">
        <f>COUNTIFS(raw_data!B2:B1471,"Yes",raw_data!E2:E1471,"Research &amp; Development")</f>
        <v>133</v>
      </c>
    </row>
    <row r="31" spans="1:3" x14ac:dyDescent="0.3">
      <c r="A31" t="s">
        <v>87</v>
      </c>
    </row>
    <row r="32" spans="1:3" x14ac:dyDescent="0.3">
      <c r="A32" t="s">
        <v>82</v>
      </c>
    </row>
    <row r="33" spans="1:2" x14ac:dyDescent="0.3">
      <c r="A33" t="s">
        <v>83</v>
      </c>
    </row>
    <row r="34" spans="1:2" x14ac:dyDescent="0.3">
      <c r="A34" t="s">
        <v>84</v>
      </c>
      <c r="B34">
        <f>COUNTIFS(raw_data!B2:B1471,"Yes",raw_data!W2:W1471,"Yes")</f>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995B-1135-4A24-AF0A-5D95D80929E6}">
  <dimension ref="A1:AL1471"/>
  <sheetViews>
    <sheetView topLeftCell="AB1048549" workbookViewId="0">
      <selection activeCell="A2" sqref="A2:AL1048576"/>
    </sheetView>
  </sheetViews>
  <sheetFormatPr defaultRowHeight="14.4" x14ac:dyDescent="0.3"/>
  <cols>
    <col min="2" max="2" width="9.6640625" customWidth="1"/>
    <col min="3" max="3" width="15.6640625" bestFit="1" customWidth="1"/>
    <col min="4" max="4" width="10.6640625" customWidth="1"/>
    <col min="5" max="5" width="21.88671875" bestFit="1" customWidth="1"/>
    <col min="6" max="6" width="19" customWidth="1"/>
    <col min="7" max="7" width="11" customWidth="1"/>
    <col min="8" max="8" width="14.77734375" customWidth="1"/>
    <col min="9" max="9" width="15.77734375" customWidth="1"/>
    <col min="10" max="10" width="17.44140625" customWidth="1"/>
    <col min="11" max="11" width="22.77734375" customWidth="1"/>
    <col min="13" max="13" width="12" customWidth="1"/>
    <col min="14" max="14" width="15.77734375" customWidth="1"/>
    <col min="15" max="15" width="9.88671875" customWidth="1"/>
    <col min="16" max="16" width="9.33203125" customWidth="1"/>
    <col min="17" max="17" width="15.21875" customWidth="1"/>
    <col min="18" max="18" width="13.77734375" customWidth="1"/>
    <col min="19" max="19" width="15.77734375" customWidth="1"/>
    <col min="20" max="20" width="13.44140625" customWidth="1"/>
    <col min="21" max="21" width="22.21875" customWidth="1"/>
    <col min="23" max="23" width="10.77734375" customWidth="1"/>
    <col min="24" max="24" width="17.5546875" customWidth="1"/>
    <col min="25" max="25" width="18.5546875" customWidth="1"/>
    <col min="26" max="26" width="22.44140625" customWidth="1"/>
    <col min="27" max="27" width="14.88671875" customWidth="1"/>
    <col min="28" max="28" width="17.109375" customWidth="1"/>
    <col min="29" max="29" width="18.33203125" customWidth="1"/>
    <col min="30" max="30" width="21.109375" customWidth="1"/>
    <col min="31" max="32" width="16.77734375" customWidth="1"/>
    <col min="33" max="33" width="18.6640625" customWidth="1"/>
    <col min="34" max="34" width="23.5546875" customWidth="1"/>
    <col min="35" max="35" width="21.88671875" customWidth="1"/>
    <col min="36" max="36" width="17.33203125" customWidth="1"/>
    <col min="38" max="38" width="15.3320312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88</v>
      </c>
      <c r="AK1" t="s">
        <v>91</v>
      </c>
      <c r="AL1" t="s">
        <v>83</v>
      </c>
    </row>
    <row r="2" spans="1:38"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IF(Table1[[#This Row],[Attrition]]="Yes",1,0)</f>
        <v>1</v>
      </c>
      <c r="AK2" t="str">
        <f t="shared" ref="AK2:AK65" si="0">IF(A2&lt;30,"Young",
IF(A2&lt;40,"Mid Career",
IF(A2&lt;50,"Experienced","Senior")))</f>
        <v>Experienced</v>
      </c>
      <c r="AL2" t="str">
        <f t="shared" ref="AL2:AL65" si="1">IF(S2&lt;3000,"Low Income",IF(S2&lt;7000,"Medium Income","High Income"))</f>
        <v>Medium Income</v>
      </c>
    </row>
    <row r="3" spans="1:38"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IF(Table1[[#This Row],[Attrition]]="Yes",1,0)</f>
        <v>0</v>
      </c>
      <c r="AK3" t="str">
        <f t="shared" si="0"/>
        <v>Experienced</v>
      </c>
      <c r="AL3" t="str">
        <f t="shared" si="1"/>
        <v>Medium Income</v>
      </c>
    </row>
    <row r="4" spans="1:38"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IF(Table1[[#This Row],[Attrition]]="Yes",1,0)</f>
        <v>1</v>
      </c>
      <c r="AK4" t="str">
        <f t="shared" si="0"/>
        <v>Mid Career</v>
      </c>
      <c r="AL4" t="str">
        <f t="shared" si="1"/>
        <v>Low Income</v>
      </c>
    </row>
    <row r="5" spans="1:38"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IF(Table1[[#This Row],[Attrition]]="Yes",1,0)</f>
        <v>0</v>
      </c>
      <c r="AK5" t="str">
        <f t="shared" si="0"/>
        <v>Mid Career</v>
      </c>
      <c r="AL5" t="str">
        <f t="shared" si="1"/>
        <v>Low Income</v>
      </c>
    </row>
    <row r="6" spans="1:38"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IF(Table1[[#This Row],[Attrition]]="Yes",1,0)</f>
        <v>0</v>
      </c>
      <c r="AK6" t="str">
        <f t="shared" si="0"/>
        <v>Young</v>
      </c>
      <c r="AL6" t="str">
        <f t="shared" si="1"/>
        <v>Medium Income</v>
      </c>
    </row>
    <row r="7" spans="1:38"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IF(Table1[[#This Row],[Attrition]]="Yes",1,0)</f>
        <v>0</v>
      </c>
      <c r="AK7" t="str">
        <f t="shared" si="0"/>
        <v>Mid Career</v>
      </c>
      <c r="AL7" t="str">
        <f t="shared" si="1"/>
        <v>Medium Income</v>
      </c>
    </row>
    <row r="8" spans="1:38"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IF(Table1[[#This Row],[Attrition]]="Yes",1,0)</f>
        <v>0</v>
      </c>
      <c r="AK8" t="str">
        <f t="shared" si="0"/>
        <v>Senior</v>
      </c>
      <c r="AL8" t="str">
        <f t="shared" si="1"/>
        <v>Low Income</v>
      </c>
    </row>
    <row r="9" spans="1:38"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IF(Table1[[#This Row],[Attrition]]="Yes",1,0)</f>
        <v>0</v>
      </c>
      <c r="AK9" t="str">
        <f t="shared" si="0"/>
        <v>Mid Career</v>
      </c>
      <c r="AL9" t="str">
        <f t="shared" si="1"/>
        <v>Low Income</v>
      </c>
    </row>
    <row r="10" spans="1:38"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IF(Table1[[#This Row],[Attrition]]="Yes",1,0)</f>
        <v>0</v>
      </c>
      <c r="AK10" t="str">
        <f t="shared" si="0"/>
        <v>Mid Career</v>
      </c>
      <c r="AL10" t="str">
        <f t="shared" si="1"/>
        <v>High Income</v>
      </c>
    </row>
    <row r="11" spans="1:38"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IF(Table1[[#This Row],[Attrition]]="Yes",1,0)</f>
        <v>0</v>
      </c>
      <c r="AK11" t="str">
        <f t="shared" si="0"/>
        <v>Mid Career</v>
      </c>
      <c r="AL11" t="str">
        <f t="shared" si="1"/>
        <v>Medium Income</v>
      </c>
    </row>
    <row r="12" spans="1:38"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IF(Table1[[#This Row],[Attrition]]="Yes",1,0)</f>
        <v>0</v>
      </c>
      <c r="AK12" t="str">
        <f t="shared" si="0"/>
        <v>Mid Career</v>
      </c>
      <c r="AL12" t="str">
        <f t="shared" si="1"/>
        <v>Low Income</v>
      </c>
    </row>
    <row r="13" spans="1:38"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IF(Table1[[#This Row],[Attrition]]="Yes",1,0)</f>
        <v>0</v>
      </c>
      <c r="AK13" t="str">
        <f t="shared" si="0"/>
        <v>Young</v>
      </c>
      <c r="AL13" t="str">
        <f t="shared" si="1"/>
        <v>Medium Income</v>
      </c>
    </row>
    <row r="14" spans="1:38"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IF(Table1[[#This Row],[Attrition]]="Yes",1,0)</f>
        <v>0</v>
      </c>
      <c r="AK14" t="str">
        <f t="shared" si="0"/>
        <v>Mid Career</v>
      </c>
      <c r="AL14" t="str">
        <f t="shared" si="1"/>
        <v>Low Income</v>
      </c>
    </row>
    <row r="15" spans="1:38"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IF(Table1[[#This Row],[Attrition]]="Yes",1,0)</f>
        <v>0</v>
      </c>
      <c r="AK15" t="str">
        <f t="shared" si="0"/>
        <v>Mid Career</v>
      </c>
      <c r="AL15" t="str">
        <f t="shared" si="1"/>
        <v>Low Income</v>
      </c>
    </row>
    <row r="16" spans="1:38"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IF(Table1[[#This Row],[Attrition]]="Yes",1,0)</f>
        <v>1</v>
      </c>
      <c r="AK16" t="str">
        <f t="shared" si="0"/>
        <v>Young</v>
      </c>
      <c r="AL16" t="str">
        <f t="shared" si="1"/>
        <v>Low Income</v>
      </c>
    </row>
    <row r="17" spans="1:38"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IF(Table1[[#This Row],[Attrition]]="Yes",1,0)</f>
        <v>0</v>
      </c>
      <c r="AK17" t="str">
        <f t="shared" si="0"/>
        <v>Young</v>
      </c>
      <c r="AL17" t="str">
        <f t="shared" si="1"/>
        <v>High Income</v>
      </c>
    </row>
    <row r="18" spans="1:38"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IF(Table1[[#This Row],[Attrition]]="Yes",1,0)</f>
        <v>0</v>
      </c>
      <c r="AK18" t="str">
        <f t="shared" si="0"/>
        <v>Mid Career</v>
      </c>
      <c r="AL18" t="str">
        <f t="shared" si="1"/>
        <v>Medium Income</v>
      </c>
    </row>
    <row r="19" spans="1:38"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IF(Table1[[#This Row],[Attrition]]="Yes",1,0)</f>
        <v>0</v>
      </c>
      <c r="AK19" t="str">
        <f t="shared" si="0"/>
        <v>Young</v>
      </c>
      <c r="AL19" t="str">
        <f t="shared" si="1"/>
        <v>Low Income</v>
      </c>
    </row>
    <row r="20" spans="1:38"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IF(Table1[[#This Row],[Attrition]]="Yes",1,0)</f>
        <v>0</v>
      </c>
      <c r="AK20" t="str">
        <f t="shared" si="0"/>
        <v>Senior</v>
      </c>
      <c r="AL20" t="str">
        <f t="shared" si="1"/>
        <v>High Income</v>
      </c>
    </row>
    <row r="21" spans="1:38"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IF(Table1[[#This Row],[Attrition]]="Yes",1,0)</f>
        <v>0</v>
      </c>
      <c r="AK21" t="str">
        <f t="shared" si="0"/>
        <v>Mid Career</v>
      </c>
      <c r="AL21" t="str">
        <f t="shared" si="1"/>
        <v>Medium Income</v>
      </c>
    </row>
    <row r="22" spans="1:38"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IF(Table1[[#This Row],[Attrition]]="Yes",1,0)</f>
        <v>0</v>
      </c>
      <c r="AK22" t="str">
        <f t="shared" si="0"/>
        <v>Young</v>
      </c>
      <c r="AL22" t="str">
        <f t="shared" si="1"/>
        <v>Medium Income</v>
      </c>
    </row>
    <row r="23" spans="1:38"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IF(Table1[[#This Row],[Attrition]]="Yes",1,0)</f>
        <v>1</v>
      </c>
      <c r="AK23" t="str">
        <f t="shared" si="0"/>
        <v>Mid Career</v>
      </c>
      <c r="AL23" t="str">
        <f t="shared" si="1"/>
        <v>Medium Income</v>
      </c>
    </row>
    <row r="24" spans="1:38"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IF(Table1[[#This Row],[Attrition]]="Yes",1,0)</f>
        <v>0</v>
      </c>
      <c r="AK24" t="str">
        <f t="shared" si="0"/>
        <v>Mid Career</v>
      </c>
      <c r="AL24" t="str">
        <f t="shared" si="1"/>
        <v>High Income</v>
      </c>
    </row>
    <row r="25" spans="1:38"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IF(Table1[[#This Row],[Attrition]]="Yes",1,0)</f>
        <v>0</v>
      </c>
      <c r="AK25" t="str">
        <f t="shared" si="0"/>
        <v>Young</v>
      </c>
      <c r="AL25" t="str">
        <f t="shared" si="1"/>
        <v>Low Income</v>
      </c>
    </row>
    <row r="26" spans="1:38"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IF(Table1[[#This Row],[Attrition]]="Yes",1,0)</f>
        <v>1</v>
      </c>
      <c r="AK26" t="str">
        <f t="shared" si="0"/>
        <v>Mid Career</v>
      </c>
      <c r="AL26" t="str">
        <f t="shared" si="1"/>
        <v>Low Income</v>
      </c>
    </row>
    <row r="27" spans="1:38"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IF(Table1[[#This Row],[Attrition]]="Yes",1,0)</f>
        <v>0</v>
      </c>
      <c r="AK27" t="str">
        <f t="shared" si="0"/>
        <v>Senior</v>
      </c>
      <c r="AL27" t="str">
        <f t="shared" si="1"/>
        <v>High Income</v>
      </c>
    </row>
    <row r="28" spans="1:38"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IF(Table1[[#This Row],[Attrition]]="Yes",1,0)</f>
        <v>1</v>
      </c>
      <c r="AK28" t="str">
        <f t="shared" si="0"/>
        <v>Mid Career</v>
      </c>
      <c r="AL28" t="str">
        <f t="shared" si="1"/>
        <v>Medium Income</v>
      </c>
    </row>
    <row r="29" spans="1:38"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IF(Table1[[#This Row],[Attrition]]="Yes",1,0)</f>
        <v>0</v>
      </c>
      <c r="AK29" t="str">
        <f t="shared" si="0"/>
        <v>Experienced</v>
      </c>
      <c r="AL29" t="str">
        <f t="shared" si="1"/>
        <v>Medium Income</v>
      </c>
    </row>
    <row r="30" spans="1:38"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IF(Table1[[#This Row],[Attrition]]="Yes",1,0)</f>
        <v>0</v>
      </c>
      <c r="AK30" t="str">
        <f t="shared" si="0"/>
        <v>Experienced</v>
      </c>
      <c r="AL30" t="str">
        <f t="shared" si="1"/>
        <v>High Income</v>
      </c>
    </row>
    <row r="31" spans="1:38"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IF(Table1[[#This Row],[Attrition]]="Yes",1,0)</f>
        <v>0</v>
      </c>
      <c r="AK31" t="str">
        <f t="shared" si="0"/>
        <v>Experienced</v>
      </c>
      <c r="AL31" t="str">
        <f t="shared" si="1"/>
        <v>High Income</v>
      </c>
    </row>
    <row r="32" spans="1:38"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IF(Table1[[#This Row],[Attrition]]="Yes",1,0)</f>
        <v>0</v>
      </c>
      <c r="AK32" t="str">
        <f t="shared" si="0"/>
        <v>Mid Career</v>
      </c>
      <c r="AL32" t="str">
        <f t="shared" si="1"/>
        <v>Low Income</v>
      </c>
    </row>
    <row r="33" spans="1:38"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IF(Table1[[#This Row],[Attrition]]="Yes",1,0)</f>
        <v>0</v>
      </c>
      <c r="AK33" t="str">
        <f t="shared" si="0"/>
        <v>Experienced</v>
      </c>
      <c r="AL33" t="str">
        <f t="shared" si="1"/>
        <v>Medium Income</v>
      </c>
    </row>
    <row r="34" spans="1:38"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IF(Table1[[#This Row],[Attrition]]="Yes",1,0)</f>
        <v>0</v>
      </c>
      <c r="AK34" t="str">
        <f t="shared" si="0"/>
        <v>Mid Career</v>
      </c>
      <c r="AL34" t="str">
        <f t="shared" si="1"/>
        <v>Low Income</v>
      </c>
    </row>
    <row r="35" spans="1:38"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IF(Table1[[#This Row],[Attrition]]="Yes",1,0)</f>
        <v>1</v>
      </c>
      <c r="AK35" t="str">
        <f t="shared" si="0"/>
        <v>Mid Career</v>
      </c>
      <c r="AL35" t="str">
        <f t="shared" si="1"/>
        <v>Low Income</v>
      </c>
    </row>
    <row r="36" spans="1:38"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IF(Table1[[#This Row],[Attrition]]="Yes",1,0)</f>
        <v>1</v>
      </c>
      <c r="AK36" t="str">
        <f t="shared" si="0"/>
        <v>Young</v>
      </c>
      <c r="AL36" t="str">
        <f t="shared" si="1"/>
        <v>Low Income</v>
      </c>
    </row>
    <row r="37" spans="1:38"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IF(Table1[[#This Row],[Attrition]]="Yes",1,0)</f>
        <v>0</v>
      </c>
      <c r="AK37" t="str">
        <f t="shared" si="0"/>
        <v>Experienced</v>
      </c>
      <c r="AL37" t="str">
        <f t="shared" si="1"/>
        <v>Low Income</v>
      </c>
    </row>
    <row r="38" spans="1:38"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IF(Table1[[#This Row],[Attrition]]="Yes",1,0)</f>
        <v>1</v>
      </c>
      <c r="AK38" t="str">
        <f t="shared" si="0"/>
        <v>Senior</v>
      </c>
      <c r="AL38" t="str">
        <f t="shared" si="1"/>
        <v>Low Income</v>
      </c>
    </row>
    <row r="39" spans="1:38"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IF(Table1[[#This Row],[Attrition]]="Yes",1,0)</f>
        <v>0</v>
      </c>
      <c r="AK39" t="str">
        <f t="shared" si="0"/>
        <v>Mid Career</v>
      </c>
      <c r="AL39" t="str">
        <f t="shared" si="1"/>
        <v>Low Income</v>
      </c>
    </row>
    <row r="40" spans="1:38"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IF(Table1[[#This Row],[Attrition]]="Yes",1,0)</f>
        <v>0</v>
      </c>
      <c r="AK40" t="str">
        <f t="shared" si="0"/>
        <v>Mid Career</v>
      </c>
      <c r="AL40" t="str">
        <f t="shared" si="1"/>
        <v>Medium Income</v>
      </c>
    </row>
    <row r="41" spans="1:38"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IF(Table1[[#This Row],[Attrition]]="Yes",1,0)</f>
        <v>0</v>
      </c>
      <c r="AK41" t="str">
        <f t="shared" si="0"/>
        <v>Mid Career</v>
      </c>
      <c r="AL41" t="str">
        <f t="shared" si="1"/>
        <v>Medium Income</v>
      </c>
    </row>
    <row r="42" spans="1:38"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IF(Table1[[#This Row],[Attrition]]="Yes",1,0)</f>
        <v>0</v>
      </c>
      <c r="AK42" t="str">
        <f t="shared" si="0"/>
        <v>Mid Career</v>
      </c>
      <c r="AL42" t="str">
        <f t="shared" si="1"/>
        <v>Low Income</v>
      </c>
    </row>
    <row r="43" spans="1:38"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IF(Table1[[#This Row],[Attrition]]="Yes",1,0)</f>
        <v>0</v>
      </c>
      <c r="AK43" t="str">
        <f t="shared" si="0"/>
        <v>Young</v>
      </c>
      <c r="AL43" t="str">
        <f t="shared" si="1"/>
        <v>Low Income</v>
      </c>
    </row>
    <row r="44" spans="1:38"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IF(Table1[[#This Row],[Attrition]]="Yes",1,0)</f>
        <v>1</v>
      </c>
      <c r="AK44" t="str">
        <f t="shared" si="0"/>
        <v>Young</v>
      </c>
      <c r="AL44" t="str">
        <f t="shared" si="1"/>
        <v>Low Income</v>
      </c>
    </row>
    <row r="45" spans="1:38"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IF(Table1[[#This Row],[Attrition]]="Yes",1,0)</f>
        <v>0</v>
      </c>
      <c r="AK45" t="str">
        <f t="shared" si="0"/>
        <v>Young</v>
      </c>
      <c r="AL45" t="str">
        <f t="shared" si="1"/>
        <v>High Income</v>
      </c>
    </row>
    <row r="46" spans="1:38"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IF(Table1[[#This Row],[Attrition]]="Yes",1,0)</f>
        <v>0</v>
      </c>
      <c r="AK46" t="str">
        <f t="shared" si="0"/>
        <v>Mid Career</v>
      </c>
      <c r="AL46" t="str">
        <f t="shared" si="1"/>
        <v>Medium Income</v>
      </c>
    </row>
    <row r="47" spans="1:38"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IF(Table1[[#This Row],[Attrition]]="Yes",1,0)</f>
        <v>1</v>
      </c>
      <c r="AK47" t="str">
        <f t="shared" si="0"/>
        <v>Experienced</v>
      </c>
      <c r="AL47" t="str">
        <f t="shared" si="1"/>
        <v>High Income</v>
      </c>
    </row>
    <row r="48" spans="1:38"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IF(Table1[[#This Row],[Attrition]]="Yes",1,0)</f>
        <v>0</v>
      </c>
      <c r="AK48" t="str">
        <f t="shared" si="0"/>
        <v>Mid Career</v>
      </c>
      <c r="AL48" t="str">
        <f t="shared" si="1"/>
        <v>Medium Income</v>
      </c>
    </row>
    <row r="49" spans="1:38"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IF(Table1[[#This Row],[Attrition]]="Yes",1,0)</f>
        <v>0</v>
      </c>
      <c r="AK49" t="str">
        <f t="shared" si="0"/>
        <v>Mid Career</v>
      </c>
      <c r="AL49" t="str">
        <f t="shared" si="1"/>
        <v>Medium Income</v>
      </c>
    </row>
    <row r="50" spans="1:38"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IF(Table1[[#This Row],[Attrition]]="Yes",1,0)</f>
        <v>0</v>
      </c>
      <c r="AK50" t="str">
        <f t="shared" si="0"/>
        <v>Experienced</v>
      </c>
      <c r="AL50" t="str">
        <f t="shared" si="1"/>
        <v>Medium Income</v>
      </c>
    </row>
    <row r="51" spans="1:38"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IF(Table1[[#This Row],[Attrition]]="Yes",1,0)</f>
        <v>0</v>
      </c>
      <c r="AK51" t="str">
        <f t="shared" si="0"/>
        <v>Mid Career</v>
      </c>
      <c r="AL51" t="str">
        <f t="shared" si="1"/>
        <v>Low Income</v>
      </c>
    </row>
    <row r="52" spans="1:38"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IF(Table1[[#This Row],[Attrition]]="Yes",1,0)</f>
        <v>1</v>
      </c>
      <c r="AK52" t="str">
        <f t="shared" si="0"/>
        <v>Experienced</v>
      </c>
      <c r="AL52" t="str">
        <f t="shared" si="1"/>
        <v>Medium Income</v>
      </c>
    </row>
    <row r="53" spans="1:38"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IF(Table1[[#This Row],[Attrition]]="Yes",1,0)</f>
        <v>1</v>
      </c>
      <c r="AK53" t="str">
        <f t="shared" si="0"/>
        <v>Young</v>
      </c>
      <c r="AL53" t="str">
        <f t="shared" si="1"/>
        <v>Medium Income</v>
      </c>
    </row>
    <row r="54" spans="1:38"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IF(Table1[[#This Row],[Attrition]]="Yes",1,0)</f>
        <v>0</v>
      </c>
      <c r="AK54" t="str">
        <f t="shared" si="0"/>
        <v>Experienced</v>
      </c>
      <c r="AL54" t="str">
        <f t="shared" si="1"/>
        <v>Medium Income</v>
      </c>
    </row>
    <row r="55" spans="1:38"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IF(Table1[[#This Row],[Attrition]]="Yes",1,0)</f>
        <v>0</v>
      </c>
      <c r="AK55" t="str">
        <f t="shared" si="0"/>
        <v>Mid Career</v>
      </c>
      <c r="AL55" t="str">
        <f t="shared" si="1"/>
        <v>High Income</v>
      </c>
    </row>
    <row r="56" spans="1:38"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IF(Table1[[#This Row],[Attrition]]="Yes",1,0)</f>
        <v>0</v>
      </c>
      <c r="AK56" t="str">
        <f t="shared" si="0"/>
        <v>Young</v>
      </c>
      <c r="AL56" t="str">
        <f t="shared" si="1"/>
        <v>Medium Income</v>
      </c>
    </row>
    <row r="57" spans="1:38"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IF(Table1[[#This Row],[Attrition]]="Yes",1,0)</f>
        <v>0</v>
      </c>
      <c r="AK57" t="str">
        <f t="shared" si="0"/>
        <v>Mid Career</v>
      </c>
      <c r="AL57" t="str">
        <f t="shared" si="1"/>
        <v>High Income</v>
      </c>
    </row>
    <row r="58" spans="1:38"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IF(Table1[[#This Row],[Attrition]]="Yes",1,0)</f>
        <v>0</v>
      </c>
      <c r="AK58" t="str">
        <f t="shared" si="0"/>
        <v>Mid Career</v>
      </c>
      <c r="AL58" t="str">
        <f t="shared" si="1"/>
        <v>High Income</v>
      </c>
    </row>
    <row r="59" spans="1:38"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IF(Table1[[#This Row],[Attrition]]="Yes",1,0)</f>
        <v>0</v>
      </c>
      <c r="AK59" t="str">
        <f t="shared" si="0"/>
        <v>Mid Career</v>
      </c>
      <c r="AL59" t="str">
        <f t="shared" si="1"/>
        <v>Medium Income</v>
      </c>
    </row>
    <row r="60" spans="1:38"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IF(Table1[[#This Row],[Attrition]]="Yes",1,0)</f>
        <v>0</v>
      </c>
      <c r="AK60" t="str">
        <f t="shared" si="0"/>
        <v>Mid Career</v>
      </c>
      <c r="AL60" t="str">
        <f t="shared" si="1"/>
        <v>Medium Income</v>
      </c>
    </row>
    <row r="61" spans="1:38"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IF(Table1[[#This Row],[Attrition]]="Yes",1,0)</f>
        <v>0</v>
      </c>
      <c r="AK61" t="str">
        <f t="shared" si="0"/>
        <v>Mid Career</v>
      </c>
      <c r="AL61" t="str">
        <f t="shared" si="1"/>
        <v>Medium Income</v>
      </c>
    </row>
    <row r="62" spans="1:38"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IF(Table1[[#This Row],[Attrition]]="Yes",1,0)</f>
        <v>0</v>
      </c>
      <c r="AK62" t="str">
        <f t="shared" si="0"/>
        <v>Mid Career</v>
      </c>
      <c r="AL62" t="str">
        <f t="shared" si="1"/>
        <v>Medium Income</v>
      </c>
    </row>
    <row r="63" spans="1:38"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IF(Table1[[#This Row],[Attrition]]="Yes",1,0)</f>
        <v>0</v>
      </c>
      <c r="AK63" t="str">
        <f t="shared" si="0"/>
        <v>Mid Career</v>
      </c>
      <c r="AL63" t="str">
        <f t="shared" si="1"/>
        <v>Low Income</v>
      </c>
    </row>
    <row r="64" spans="1:38"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IF(Table1[[#This Row],[Attrition]]="Yes",1,0)</f>
        <v>0</v>
      </c>
      <c r="AK64" t="str">
        <f t="shared" si="0"/>
        <v>Senior</v>
      </c>
      <c r="AL64" t="str">
        <f t="shared" si="1"/>
        <v>High Income</v>
      </c>
    </row>
    <row r="65" spans="1:38"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IF(Table1[[#This Row],[Attrition]]="Yes",1,0)</f>
        <v>0</v>
      </c>
      <c r="AK65" t="str">
        <f t="shared" si="0"/>
        <v>Senior</v>
      </c>
      <c r="AL65" t="str">
        <f t="shared" si="1"/>
        <v>High Income</v>
      </c>
    </row>
    <row r="66" spans="1:38"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IF(Table1[[#This Row],[Attrition]]="Yes",1,0)</f>
        <v>0</v>
      </c>
      <c r="AK66" t="str">
        <f t="shared" ref="AK66:AK129" si="2">IF(A66&lt;30,"Young",
IF(A66&lt;40,"Mid Career",
IF(A66&lt;50,"Experienced","Senior")))</f>
        <v>Mid Career</v>
      </c>
      <c r="AL66" t="str">
        <f t="shared" ref="AL66:AL129" si="3">IF(S66&lt;3000,"Low Income",IF(S66&lt;7000,"Medium Income","High Income"))</f>
        <v>High Income</v>
      </c>
    </row>
    <row r="67" spans="1:38"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IF(Table1[[#This Row],[Attrition]]="Yes",1,0)</f>
        <v>0</v>
      </c>
      <c r="AK67" t="str">
        <f t="shared" si="2"/>
        <v>Senior</v>
      </c>
      <c r="AL67" t="str">
        <f t="shared" si="3"/>
        <v>High Income</v>
      </c>
    </row>
    <row r="68" spans="1:38"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IF(Table1[[#This Row],[Attrition]]="Yes",1,0)</f>
        <v>0</v>
      </c>
      <c r="AK68" t="str">
        <f t="shared" si="2"/>
        <v>Mid Career</v>
      </c>
      <c r="AL68" t="str">
        <f t="shared" si="3"/>
        <v>Medium Income</v>
      </c>
    </row>
    <row r="69" spans="1:38"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IF(Table1[[#This Row],[Attrition]]="Yes",1,0)</f>
        <v>0</v>
      </c>
      <c r="AK69" t="str">
        <f t="shared" si="2"/>
        <v>Experienced</v>
      </c>
      <c r="AL69" t="str">
        <f t="shared" si="3"/>
        <v>High Income</v>
      </c>
    </row>
    <row r="70" spans="1:38"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IF(Table1[[#This Row],[Attrition]]="Yes",1,0)</f>
        <v>0</v>
      </c>
      <c r="AK70" t="str">
        <f t="shared" si="2"/>
        <v>Mid Career</v>
      </c>
      <c r="AL70" t="str">
        <f t="shared" si="3"/>
        <v>Low Income</v>
      </c>
    </row>
    <row r="71" spans="1:38"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IF(Table1[[#This Row],[Attrition]]="Yes",1,0)</f>
        <v>1</v>
      </c>
      <c r="AK71" t="str">
        <f t="shared" si="2"/>
        <v>Mid Career</v>
      </c>
      <c r="AL71" t="str">
        <f t="shared" si="3"/>
        <v>Medium Income</v>
      </c>
    </row>
    <row r="72" spans="1:38"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IF(Table1[[#This Row],[Attrition]]="Yes",1,0)</f>
        <v>0</v>
      </c>
      <c r="AK72" t="str">
        <f t="shared" si="2"/>
        <v>Senior</v>
      </c>
      <c r="AL72" t="str">
        <f t="shared" si="3"/>
        <v>Medium Income</v>
      </c>
    </row>
    <row r="73" spans="1:38"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IF(Table1[[#This Row],[Attrition]]="Yes",1,0)</f>
        <v>0</v>
      </c>
      <c r="AK73" t="str">
        <f t="shared" si="2"/>
        <v>Young</v>
      </c>
      <c r="AL73" t="str">
        <f t="shared" si="3"/>
        <v>Low Income</v>
      </c>
    </row>
    <row r="74" spans="1:38"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IF(Table1[[#This Row],[Attrition]]="Yes",1,0)</f>
        <v>0</v>
      </c>
      <c r="AK74" t="str">
        <f t="shared" si="2"/>
        <v>Mid Career</v>
      </c>
      <c r="AL74" t="str">
        <f t="shared" si="3"/>
        <v>Low Income</v>
      </c>
    </row>
    <row r="75" spans="1:38"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IF(Table1[[#This Row],[Attrition]]="Yes",1,0)</f>
        <v>0</v>
      </c>
      <c r="AK75" t="str">
        <f t="shared" si="2"/>
        <v>Mid Career</v>
      </c>
      <c r="AL75" t="str">
        <f t="shared" si="3"/>
        <v>Medium Income</v>
      </c>
    </row>
    <row r="76" spans="1:38"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IF(Table1[[#This Row],[Attrition]]="Yes",1,0)</f>
        <v>0</v>
      </c>
      <c r="AK76" t="str">
        <f t="shared" si="2"/>
        <v>Mid Career</v>
      </c>
      <c r="AL76" t="str">
        <f t="shared" si="3"/>
        <v>Medium Income</v>
      </c>
    </row>
    <row r="77" spans="1:38"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IF(Table1[[#This Row],[Attrition]]="Yes",1,0)</f>
        <v>0</v>
      </c>
      <c r="AK77" t="str">
        <f t="shared" si="2"/>
        <v>Mid Career</v>
      </c>
      <c r="AL77" t="str">
        <f t="shared" si="3"/>
        <v>Medium Income</v>
      </c>
    </row>
    <row r="78" spans="1:38"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IF(Table1[[#This Row],[Attrition]]="Yes",1,0)</f>
        <v>0</v>
      </c>
      <c r="AK78" t="str">
        <f t="shared" si="2"/>
        <v>Mid Career</v>
      </c>
      <c r="AL78" t="str">
        <f t="shared" si="3"/>
        <v>Medium Income</v>
      </c>
    </row>
    <row r="79" spans="1:38"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IF(Table1[[#This Row],[Attrition]]="Yes",1,0)</f>
        <v>0</v>
      </c>
      <c r="AK79" t="str">
        <f t="shared" si="2"/>
        <v>Experienced</v>
      </c>
      <c r="AL79" t="str">
        <f t="shared" si="3"/>
        <v>High Income</v>
      </c>
    </row>
    <row r="80" spans="1:38"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IF(Table1[[#This Row],[Attrition]]="Yes",1,0)</f>
        <v>0</v>
      </c>
      <c r="AK80" t="str">
        <f t="shared" si="2"/>
        <v>Mid Career</v>
      </c>
      <c r="AL80" t="str">
        <f t="shared" si="3"/>
        <v>High Income</v>
      </c>
    </row>
    <row r="81" spans="1:38"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IF(Table1[[#This Row],[Attrition]]="Yes",1,0)</f>
        <v>0</v>
      </c>
      <c r="AK81" t="str">
        <f t="shared" si="2"/>
        <v>Experienced</v>
      </c>
      <c r="AL81" t="str">
        <f t="shared" si="3"/>
        <v>Medium Income</v>
      </c>
    </row>
    <row r="82" spans="1:38"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IF(Table1[[#This Row],[Attrition]]="Yes",1,0)</f>
        <v>0</v>
      </c>
      <c r="AK82" t="str">
        <f t="shared" si="2"/>
        <v>Mid Career</v>
      </c>
      <c r="AL82" t="str">
        <f t="shared" si="3"/>
        <v>Medium Income</v>
      </c>
    </row>
    <row r="83" spans="1:38"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IF(Table1[[#This Row],[Attrition]]="Yes",1,0)</f>
        <v>0</v>
      </c>
      <c r="AK83" t="str">
        <f t="shared" si="2"/>
        <v>Mid Career</v>
      </c>
      <c r="AL83" t="str">
        <f t="shared" si="3"/>
        <v>Low Income</v>
      </c>
    </row>
    <row r="84" spans="1:38"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IF(Table1[[#This Row],[Attrition]]="Yes",1,0)</f>
        <v>0</v>
      </c>
      <c r="AK84" t="str">
        <f t="shared" si="2"/>
        <v>Senior</v>
      </c>
      <c r="AL84" t="str">
        <f t="shared" si="3"/>
        <v>High Income</v>
      </c>
    </row>
    <row r="85" spans="1:38"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IF(Table1[[#This Row],[Attrition]]="Yes",1,0)</f>
        <v>0</v>
      </c>
      <c r="AK85" t="str">
        <f t="shared" si="2"/>
        <v>Mid Career</v>
      </c>
      <c r="AL85" t="str">
        <f t="shared" si="3"/>
        <v>Medium Income</v>
      </c>
    </row>
    <row r="86" spans="1:38"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IF(Table1[[#This Row],[Attrition]]="Yes",1,0)</f>
        <v>0</v>
      </c>
      <c r="AK86" t="str">
        <f t="shared" si="2"/>
        <v>Mid Career</v>
      </c>
      <c r="AL86" t="str">
        <f t="shared" si="3"/>
        <v>Medium Income</v>
      </c>
    </row>
    <row r="87" spans="1:38"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IF(Table1[[#This Row],[Attrition]]="Yes",1,0)</f>
        <v>0</v>
      </c>
      <c r="AK87" t="str">
        <f t="shared" si="2"/>
        <v>Senior</v>
      </c>
      <c r="AL87" t="str">
        <f t="shared" si="3"/>
        <v>High Income</v>
      </c>
    </row>
    <row r="88" spans="1:38"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IF(Table1[[#This Row],[Attrition]]="Yes",1,0)</f>
        <v>0</v>
      </c>
      <c r="AK88" t="str">
        <f t="shared" si="2"/>
        <v>Young</v>
      </c>
      <c r="AL88" t="str">
        <f t="shared" si="3"/>
        <v>Low Income</v>
      </c>
    </row>
    <row r="89" spans="1:38"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IF(Table1[[#This Row],[Attrition]]="Yes",1,0)</f>
        <v>0</v>
      </c>
      <c r="AK89" t="str">
        <f t="shared" si="2"/>
        <v>Senior</v>
      </c>
      <c r="AL89" t="str">
        <f t="shared" si="3"/>
        <v>Low Income</v>
      </c>
    </row>
    <row r="90" spans="1:38"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IF(Table1[[#This Row],[Attrition]]="Yes",1,0)</f>
        <v>0</v>
      </c>
      <c r="AK90" t="str">
        <f t="shared" si="2"/>
        <v>Mid Career</v>
      </c>
      <c r="AL90" t="str">
        <f t="shared" si="3"/>
        <v>Medium Income</v>
      </c>
    </row>
    <row r="91" spans="1:38"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IF(Table1[[#This Row],[Attrition]]="Yes",1,0)</f>
        <v>1</v>
      </c>
      <c r="AK91" t="str">
        <f t="shared" si="2"/>
        <v>Experienced</v>
      </c>
      <c r="AL91" t="str">
        <f t="shared" si="3"/>
        <v>High Income</v>
      </c>
    </row>
    <row r="92" spans="1:38"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IF(Table1[[#This Row],[Attrition]]="Yes",1,0)</f>
        <v>0</v>
      </c>
      <c r="AK92" t="str">
        <f t="shared" si="2"/>
        <v>Experienced</v>
      </c>
      <c r="AL92" t="str">
        <f t="shared" si="3"/>
        <v>High Income</v>
      </c>
    </row>
    <row r="93" spans="1:38"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IF(Table1[[#This Row],[Attrition]]="Yes",1,0)</f>
        <v>0</v>
      </c>
      <c r="AK93" t="str">
        <f t="shared" si="2"/>
        <v>Senior</v>
      </c>
      <c r="AL93" t="str">
        <f t="shared" si="3"/>
        <v>Medium Income</v>
      </c>
    </row>
    <row r="94" spans="1:38"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IF(Table1[[#This Row],[Attrition]]="Yes",1,0)</f>
        <v>0</v>
      </c>
      <c r="AK94" t="str">
        <f t="shared" si="2"/>
        <v>Mid Career</v>
      </c>
      <c r="AL94" t="str">
        <f t="shared" si="3"/>
        <v>Medium Income</v>
      </c>
    </row>
    <row r="95" spans="1:38"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IF(Table1[[#This Row],[Attrition]]="Yes",1,0)</f>
        <v>0</v>
      </c>
      <c r="AK95" t="str">
        <f t="shared" si="2"/>
        <v>Experienced</v>
      </c>
      <c r="AL95" t="str">
        <f t="shared" si="3"/>
        <v>High Income</v>
      </c>
    </row>
    <row r="96" spans="1:38"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IF(Table1[[#This Row],[Attrition]]="Yes",1,0)</f>
        <v>0</v>
      </c>
      <c r="AK96" t="str">
        <f t="shared" si="2"/>
        <v>Mid Career</v>
      </c>
      <c r="AL96" t="str">
        <f t="shared" si="3"/>
        <v>Medium Income</v>
      </c>
    </row>
    <row r="97" spans="1:38"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IF(Table1[[#This Row],[Attrition]]="Yes",1,0)</f>
        <v>0</v>
      </c>
      <c r="AK97" t="str">
        <f t="shared" si="2"/>
        <v>Senior</v>
      </c>
      <c r="AL97" t="str">
        <f t="shared" si="3"/>
        <v>High Income</v>
      </c>
    </row>
    <row r="98" spans="1:38"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IF(Table1[[#This Row],[Attrition]]="Yes",1,0)</f>
        <v>0</v>
      </c>
      <c r="AK98" t="str">
        <f t="shared" si="2"/>
        <v>Young</v>
      </c>
      <c r="AL98" t="str">
        <f t="shared" si="3"/>
        <v>Medium Income</v>
      </c>
    </row>
    <row r="99" spans="1:38"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IF(Table1[[#This Row],[Attrition]]="Yes",1,0)</f>
        <v>0</v>
      </c>
      <c r="AK99" t="str">
        <f t="shared" si="2"/>
        <v>Young</v>
      </c>
      <c r="AL99" t="str">
        <f t="shared" si="3"/>
        <v>Medium Income</v>
      </c>
    </row>
    <row r="100" spans="1:38"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IF(Table1[[#This Row],[Attrition]]="Yes",1,0)</f>
        <v>0</v>
      </c>
      <c r="AK100" t="str">
        <f t="shared" si="2"/>
        <v>Senior</v>
      </c>
      <c r="AL100" t="str">
        <f t="shared" si="3"/>
        <v>High Income</v>
      </c>
    </row>
    <row r="101" spans="1:38"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IF(Table1[[#This Row],[Attrition]]="Yes",1,0)</f>
        <v>0</v>
      </c>
      <c r="AK101" t="str">
        <f t="shared" si="2"/>
        <v>Experienced</v>
      </c>
      <c r="AL101" t="str">
        <f t="shared" si="3"/>
        <v>Low Income</v>
      </c>
    </row>
    <row r="102" spans="1:38"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IF(Table1[[#This Row],[Attrition]]="Yes",1,0)</f>
        <v>1</v>
      </c>
      <c r="AK102" t="str">
        <f t="shared" si="2"/>
        <v>Mid Career</v>
      </c>
      <c r="AL102" t="str">
        <f t="shared" si="3"/>
        <v>Low Income</v>
      </c>
    </row>
    <row r="103" spans="1:38"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IF(Table1[[#This Row],[Attrition]]="Yes",1,0)</f>
        <v>0</v>
      </c>
      <c r="AK103" t="str">
        <f t="shared" si="2"/>
        <v>Mid Career</v>
      </c>
      <c r="AL103" t="str">
        <f t="shared" si="3"/>
        <v>Low Income</v>
      </c>
    </row>
    <row r="104" spans="1:38"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IF(Table1[[#This Row],[Attrition]]="Yes",1,0)</f>
        <v>1</v>
      </c>
      <c r="AK104" t="str">
        <f t="shared" si="2"/>
        <v>Young</v>
      </c>
      <c r="AL104" t="str">
        <f t="shared" si="3"/>
        <v>Low Income</v>
      </c>
    </row>
    <row r="105" spans="1:38"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IF(Table1[[#This Row],[Attrition]]="Yes",1,0)</f>
        <v>0</v>
      </c>
      <c r="AK105" t="str">
        <f t="shared" si="2"/>
        <v>Mid Career</v>
      </c>
      <c r="AL105" t="str">
        <f t="shared" si="3"/>
        <v>Medium Income</v>
      </c>
    </row>
    <row r="106" spans="1:38"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IF(Table1[[#This Row],[Attrition]]="Yes",1,0)</f>
        <v>0</v>
      </c>
      <c r="AK106" t="str">
        <f t="shared" si="2"/>
        <v>Mid Career</v>
      </c>
      <c r="AL106" t="str">
        <f t="shared" si="3"/>
        <v>Medium Income</v>
      </c>
    </row>
    <row r="107" spans="1:38"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IF(Table1[[#This Row],[Attrition]]="Yes",1,0)</f>
        <v>0</v>
      </c>
      <c r="AK107" t="str">
        <f t="shared" si="2"/>
        <v>Senior</v>
      </c>
      <c r="AL107" t="str">
        <f t="shared" si="3"/>
        <v>High Income</v>
      </c>
    </row>
    <row r="108" spans="1:38"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IF(Table1[[#This Row],[Attrition]]="Yes",1,0)</f>
        <v>0</v>
      </c>
      <c r="AK108" t="str">
        <f t="shared" si="2"/>
        <v>Senior</v>
      </c>
      <c r="AL108" t="str">
        <f t="shared" si="3"/>
        <v>High Income</v>
      </c>
    </row>
    <row r="109" spans="1:38"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IF(Table1[[#This Row],[Attrition]]="Yes",1,0)</f>
        <v>1</v>
      </c>
      <c r="AK109" t="str">
        <f t="shared" si="2"/>
        <v>Young</v>
      </c>
      <c r="AL109" t="str">
        <f t="shared" si="3"/>
        <v>Medium Income</v>
      </c>
    </row>
    <row r="110" spans="1:38"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IF(Table1[[#This Row],[Attrition]]="Yes",1,0)</f>
        <v>0</v>
      </c>
      <c r="AK110" t="str">
        <f t="shared" si="2"/>
        <v>Young</v>
      </c>
      <c r="AL110" t="str">
        <f t="shared" si="3"/>
        <v>Low Income</v>
      </c>
    </row>
    <row r="111" spans="1:38"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IF(Table1[[#This Row],[Attrition]]="Yes",1,0)</f>
        <v>0</v>
      </c>
      <c r="AK111" t="str">
        <f t="shared" si="2"/>
        <v>Young</v>
      </c>
      <c r="AL111" t="str">
        <f t="shared" si="3"/>
        <v>Low Income</v>
      </c>
    </row>
    <row r="112" spans="1:38"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IF(Table1[[#This Row],[Attrition]]="Yes",1,0)</f>
        <v>0</v>
      </c>
      <c r="AK112" t="str">
        <f t="shared" si="2"/>
        <v>Senior</v>
      </c>
      <c r="AL112" t="str">
        <f t="shared" si="3"/>
        <v>High Income</v>
      </c>
    </row>
    <row r="113" spans="1:38"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IF(Table1[[#This Row],[Attrition]]="Yes",1,0)</f>
        <v>1</v>
      </c>
      <c r="AK113" t="str">
        <f t="shared" si="2"/>
        <v>Mid Career</v>
      </c>
      <c r="AL113" t="str">
        <f t="shared" si="3"/>
        <v>Medium Income</v>
      </c>
    </row>
    <row r="114" spans="1:38"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IF(Table1[[#This Row],[Attrition]]="Yes",1,0)</f>
        <v>0</v>
      </c>
      <c r="AK114" t="str">
        <f t="shared" si="2"/>
        <v>Senior</v>
      </c>
      <c r="AL114" t="str">
        <f t="shared" si="3"/>
        <v>High Income</v>
      </c>
    </row>
    <row r="115" spans="1:38"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IF(Table1[[#This Row],[Attrition]]="Yes",1,0)</f>
        <v>0</v>
      </c>
      <c r="AK115" t="str">
        <f t="shared" si="2"/>
        <v>Young</v>
      </c>
      <c r="AL115" t="str">
        <f t="shared" si="3"/>
        <v>Low Income</v>
      </c>
    </row>
    <row r="116" spans="1:38"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IF(Table1[[#This Row],[Attrition]]="Yes",1,0)</f>
        <v>0</v>
      </c>
      <c r="AK116" t="str">
        <f t="shared" si="2"/>
        <v>Mid Career</v>
      </c>
      <c r="AL116" t="str">
        <f t="shared" si="3"/>
        <v>Medium Income</v>
      </c>
    </row>
    <row r="117" spans="1:38"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IF(Table1[[#This Row],[Attrition]]="Yes",1,0)</f>
        <v>0</v>
      </c>
      <c r="AK117" t="str">
        <f t="shared" si="2"/>
        <v>Mid Career</v>
      </c>
      <c r="AL117" t="str">
        <f t="shared" si="3"/>
        <v>High Income</v>
      </c>
    </row>
    <row r="118" spans="1:38"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IF(Table1[[#This Row],[Attrition]]="Yes",1,0)</f>
        <v>0</v>
      </c>
      <c r="AK118" t="str">
        <f t="shared" si="2"/>
        <v>Mid Career</v>
      </c>
      <c r="AL118" t="str">
        <f t="shared" si="3"/>
        <v>High Income</v>
      </c>
    </row>
    <row r="119" spans="1:38"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IF(Table1[[#This Row],[Attrition]]="Yes",1,0)</f>
        <v>0</v>
      </c>
      <c r="AK119" t="str">
        <f t="shared" si="2"/>
        <v>Mid Career</v>
      </c>
      <c r="AL119" t="str">
        <f t="shared" si="3"/>
        <v>High Income</v>
      </c>
    </row>
    <row r="120" spans="1:38"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IF(Table1[[#This Row],[Attrition]]="Yes",1,0)</f>
        <v>0</v>
      </c>
      <c r="AK120" t="str">
        <f t="shared" si="2"/>
        <v>Mid Career</v>
      </c>
      <c r="AL120" t="str">
        <f t="shared" si="3"/>
        <v>Low Income</v>
      </c>
    </row>
    <row r="121" spans="1:38"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IF(Table1[[#This Row],[Attrition]]="Yes",1,0)</f>
        <v>0</v>
      </c>
      <c r="AK121" t="str">
        <f t="shared" si="2"/>
        <v>Experienced</v>
      </c>
      <c r="AL121" t="str">
        <f t="shared" si="3"/>
        <v>High Income</v>
      </c>
    </row>
    <row r="122" spans="1:38"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IF(Table1[[#This Row],[Attrition]]="Yes",1,0)</f>
        <v>0</v>
      </c>
      <c r="AK122" t="str">
        <f t="shared" si="2"/>
        <v>Mid Career</v>
      </c>
      <c r="AL122" t="str">
        <f t="shared" si="3"/>
        <v>Low Income</v>
      </c>
    </row>
    <row r="123" spans="1:38"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IF(Table1[[#This Row],[Attrition]]="Yes",1,0)</f>
        <v>0</v>
      </c>
      <c r="AK123" t="str">
        <f t="shared" si="2"/>
        <v>Mid Career</v>
      </c>
      <c r="AL123" t="str">
        <f t="shared" si="3"/>
        <v>Medium Income</v>
      </c>
    </row>
    <row r="124" spans="1:38"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IF(Table1[[#This Row],[Attrition]]="Yes",1,0)</f>
        <v>1</v>
      </c>
      <c r="AK124" t="str">
        <f t="shared" si="2"/>
        <v>Senior</v>
      </c>
      <c r="AL124" t="str">
        <f t="shared" si="3"/>
        <v>Medium Income</v>
      </c>
    </row>
    <row r="125" spans="1:38"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IF(Table1[[#This Row],[Attrition]]="Yes",1,0)</f>
        <v>0</v>
      </c>
      <c r="AK125" t="str">
        <f t="shared" si="2"/>
        <v>Senior</v>
      </c>
      <c r="AL125" t="str">
        <f t="shared" si="3"/>
        <v>High Income</v>
      </c>
    </row>
    <row r="126" spans="1:38"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IF(Table1[[#This Row],[Attrition]]="Yes",1,0)</f>
        <v>1</v>
      </c>
      <c r="AK126" t="str">
        <f t="shared" si="2"/>
        <v>Mid Career</v>
      </c>
      <c r="AL126" t="str">
        <f t="shared" si="3"/>
        <v>Medium Income</v>
      </c>
    </row>
    <row r="127" spans="1:38"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IF(Table1[[#This Row],[Attrition]]="Yes",1,0)</f>
        <v>0</v>
      </c>
      <c r="AK127" t="str">
        <f t="shared" si="2"/>
        <v>Young</v>
      </c>
      <c r="AL127" t="str">
        <f t="shared" si="3"/>
        <v>Low Income</v>
      </c>
    </row>
    <row r="128" spans="1:38"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IF(Table1[[#This Row],[Attrition]]="Yes",1,0)</f>
        <v>1</v>
      </c>
      <c r="AK128" t="str">
        <f t="shared" si="2"/>
        <v>Senior</v>
      </c>
      <c r="AL128" t="str">
        <f t="shared" si="3"/>
        <v>High Income</v>
      </c>
    </row>
    <row r="129" spans="1:38"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IF(Table1[[#This Row],[Attrition]]="Yes",1,0)</f>
        <v>1</v>
      </c>
      <c r="AK129" t="str">
        <f t="shared" si="2"/>
        <v>Young</v>
      </c>
      <c r="AL129" t="str">
        <f t="shared" si="3"/>
        <v>Low Income</v>
      </c>
    </row>
    <row r="130" spans="1:38"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IF(Table1[[#This Row],[Attrition]]="Yes",1,0)</f>
        <v>0</v>
      </c>
      <c r="AK130" t="str">
        <f t="shared" ref="AK130:AK193" si="4">IF(A130&lt;30,"Young",
IF(A130&lt;40,"Mid Career",
IF(A130&lt;50,"Experienced","Senior")))</f>
        <v>Young</v>
      </c>
      <c r="AL130" t="str">
        <f t="shared" ref="AL130:AL193" si="5">IF(S130&lt;3000,"Low Income",IF(S130&lt;7000,"Medium Income","High Income"))</f>
        <v>Low Income</v>
      </c>
    </row>
    <row r="131" spans="1:38"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IF(Table1[[#This Row],[Attrition]]="Yes",1,0)</f>
        <v>0</v>
      </c>
      <c r="AK131" t="str">
        <f t="shared" si="4"/>
        <v>Experienced</v>
      </c>
      <c r="AL131" t="str">
        <f t="shared" si="5"/>
        <v>Medium Income</v>
      </c>
    </row>
    <row r="132" spans="1:38"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IF(Table1[[#This Row],[Attrition]]="Yes",1,0)</f>
        <v>0</v>
      </c>
      <c r="AK132" t="str">
        <f t="shared" si="4"/>
        <v>Experienced</v>
      </c>
      <c r="AL132" t="str">
        <f t="shared" si="5"/>
        <v>Medium Income</v>
      </c>
    </row>
    <row r="133" spans="1:38"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IF(Table1[[#This Row],[Attrition]]="Yes",1,0)</f>
        <v>0</v>
      </c>
      <c r="AK133" t="str">
        <f t="shared" si="4"/>
        <v>Senior</v>
      </c>
      <c r="AL133" t="str">
        <f t="shared" si="5"/>
        <v>High Income</v>
      </c>
    </row>
    <row r="134" spans="1:38"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IF(Table1[[#This Row],[Attrition]]="Yes",1,0)</f>
        <v>1</v>
      </c>
      <c r="AK134" t="str">
        <f t="shared" si="4"/>
        <v>Mid Career</v>
      </c>
      <c r="AL134" t="str">
        <f t="shared" si="5"/>
        <v>Medium Income</v>
      </c>
    </row>
    <row r="135" spans="1:38"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IF(Table1[[#This Row],[Attrition]]="Yes",1,0)</f>
        <v>0</v>
      </c>
      <c r="AK135" t="str">
        <f t="shared" si="4"/>
        <v>Experienced</v>
      </c>
      <c r="AL135" t="str">
        <f t="shared" si="5"/>
        <v>High Income</v>
      </c>
    </row>
    <row r="136" spans="1:38"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IF(Table1[[#This Row],[Attrition]]="Yes",1,0)</f>
        <v>0</v>
      </c>
      <c r="AK136" t="str">
        <f t="shared" si="4"/>
        <v>Young</v>
      </c>
      <c r="AL136" t="str">
        <f t="shared" si="5"/>
        <v>Low Income</v>
      </c>
    </row>
    <row r="137" spans="1:38"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IF(Table1[[#This Row],[Attrition]]="Yes",1,0)</f>
        <v>0</v>
      </c>
      <c r="AK137" t="str">
        <f t="shared" si="4"/>
        <v>Mid Career</v>
      </c>
      <c r="AL137" t="str">
        <f t="shared" si="5"/>
        <v>Medium Income</v>
      </c>
    </row>
    <row r="138" spans="1:38"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IF(Table1[[#This Row],[Attrition]]="Yes",1,0)</f>
        <v>1</v>
      </c>
      <c r="AK138" t="str">
        <f t="shared" si="4"/>
        <v>Senior</v>
      </c>
      <c r="AL138" t="str">
        <f t="shared" si="5"/>
        <v>High Income</v>
      </c>
    </row>
    <row r="139" spans="1:38"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IF(Table1[[#This Row],[Attrition]]="Yes",1,0)</f>
        <v>0</v>
      </c>
      <c r="AK139" t="str">
        <f t="shared" si="4"/>
        <v>Mid Career</v>
      </c>
      <c r="AL139" t="str">
        <f t="shared" si="5"/>
        <v>Medium Income</v>
      </c>
    </row>
    <row r="140" spans="1:38"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IF(Table1[[#This Row],[Attrition]]="Yes",1,0)</f>
        <v>0</v>
      </c>
      <c r="AK140" t="str">
        <f t="shared" si="4"/>
        <v>Young</v>
      </c>
      <c r="AL140" t="str">
        <f t="shared" si="5"/>
        <v>High Income</v>
      </c>
    </row>
    <row r="141" spans="1:38"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IF(Table1[[#This Row],[Attrition]]="Yes",1,0)</f>
        <v>0</v>
      </c>
      <c r="AK141" t="str">
        <f t="shared" si="4"/>
        <v>Mid Career</v>
      </c>
      <c r="AL141" t="str">
        <f t="shared" si="5"/>
        <v>Medium Income</v>
      </c>
    </row>
    <row r="142" spans="1:38"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IF(Table1[[#This Row],[Attrition]]="Yes",1,0)</f>
        <v>1</v>
      </c>
      <c r="AK142" t="str">
        <f t="shared" si="4"/>
        <v>Mid Career</v>
      </c>
      <c r="AL142" t="str">
        <f t="shared" si="5"/>
        <v>Medium Income</v>
      </c>
    </row>
    <row r="143" spans="1:38"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IF(Table1[[#This Row],[Attrition]]="Yes",1,0)</f>
        <v>0</v>
      </c>
      <c r="AK143" t="str">
        <f t="shared" si="4"/>
        <v>Experienced</v>
      </c>
      <c r="AL143" t="str">
        <f t="shared" si="5"/>
        <v>Medium Income</v>
      </c>
    </row>
    <row r="144" spans="1:38"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IF(Table1[[#This Row],[Attrition]]="Yes",1,0)</f>
        <v>0</v>
      </c>
      <c r="AK144" t="str">
        <f t="shared" si="4"/>
        <v>Mid Career</v>
      </c>
      <c r="AL144" t="str">
        <f t="shared" si="5"/>
        <v>Medium Income</v>
      </c>
    </row>
    <row r="145" spans="1:38"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IF(Table1[[#This Row],[Attrition]]="Yes",1,0)</f>
        <v>0</v>
      </c>
      <c r="AK145" t="str">
        <f t="shared" si="4"/>
        <v>Mid Career</v>
      </c>
      <c r="AL145" t="str">
        <f t="shared" si="5"/>
        <v>Low Income</v>
      </c>
    </row>
    <row r="146" spans="1:38"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IF(Table1[[#This Row],[Attrition]]="Yes",1,0)</f>
        <v>0</v>
      </c>
      <c r="AK146" t="str">
        <f t="shared" si="4"/>
        <v>Mid Career</v>
      </c>
      <c r="AL146" t="str">
        <f t="shared" si="5"/>
        <v>Medium Income</v>
      </c>
    </row>
    <row r="147" spans="1:38"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IF(Table1[[#This Row],[Attrition]]="Yes",1,0)</f>
        <v>0</v>
      </c>
      <c r="AK147" t="str">
        <f t="shared" si="4"/>
        <v>Mid Career</v>
      </c>
      <c r="AL147" t="str">
        <f t="shared" si="5"/>
        <v>Medium Income</v>
      </c>
    </row>
    <row r="148" spans="1:38"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IF(Table1[[#This Row],[Attrition]]="Yes",1,0)</f>
        <v>0</v>
      </c>
      <c r="AK148" t="str">
        <f t="shared" si="4"/>
        <v>Mid Career</v>
      </c>
      <c r="AL148" t="str">
        <f t="shared" si="5"/>
        <v>Low Income</v>
      </c>
    </row>
    <row r="149" spans="1:38"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IF(Table1[[#This Row],[Attrition]]="Yes",1,0)</f>
        <v>0</v>
      </c>
      <c r="AK149" t="str">
        <f t="shared" si="4"/>
        <v>Experienced</v>
      </c>
      <c r="AL149" t="str">
        <f t="shared" si="5"/>
        <v>High Income</v>
      </c>
    </row>
    <row r="150" spans="1:38"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IF(Table1[[#This Row],[Attrition]]="Yes",1,0)</f>
        <v>0</v>
      </c>
      <c r="AK150" t="str">
        <f t="shared" si="4"/>
        <v>Experienced</v>
      </c>
      <c r="AL150" t="str">
        <f t="shared" si="5"/>
        <v>Low Income</v>
      </c>
    </row>
    <row r="151" spans="1:38"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IF(Table1[[#This Row],[Attrition]]="Yes",1,0)</f>
        <v>0</v>
      </c>
      <c r="AK151" t="str">
        <f t="shared" si="4"/>
        <v>Young</v>
      </c>
      <c r="AL151" t="str">
        <f t="shared" si="5"/>
        <v>Low Income</v>
      </c>
    </row>
    <row r="152" spans="1:38"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IF(Table1[[#This Row],[Attrition]]="Yes",1,0)</f>
        <v>0</v>
      </c>
      <c r="AK152" t="str">
        <f t="shared" si="4"/>
        <v>Experienced</v>
      </c>
      <c r="AL152" t="str">
        <f t="shared" si="5"/>
        <v>Medium Income</v>
      </c>
    </row>
    <row r="153" spans="1:38"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IF(Table1[[#This Row],[Attrition]]="Yes",1,0)</f>
        <v>0</v>
      </c>
      <c r="AK153" t="str">
        <f t="shared" si="4"/>
        <v>Mid Career</v>
      </c>
      <c r="AL153" t="str">
        <f t="shared" si="5"/>
        <v>High Income</v>
      </c>
    </row>
    <row r="154" spans="1:38"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IF(Table1[[#This Row],[Attrition]]="Yes",1,0)</f>
        <v>0</v>
      </c>
      <c r="AK154" t="str">
        <f t="shared" si="4"/>
        <v>Senior</v>
      </c>
      <c r="AL154" t="str">
        <f t="shared" si="5"/>
        <v>Low Income</v>
      </c>
    </row>
    <row r="155" spans="1:38"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IF(Table1[[#This Row],[Attrition]]="Yes",1,0)</f>
        <v>0</v>
      </c>
      <c r="AK155" t="str">
        <f t="shared" si="4"/>
        <v>Experienced</v>
      </c>
      <c r="AL155" t="str">
        <f t="shared" si="5"/>
        <v>Low Income</v>
      </c>
    </row>
    <row r="156" spans="1:38"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IF(Table1[[#This Row],[Attrition]]="Yes",1,0)</f>
        <v>0</v>
      </c>
      <c r="AK156" t="str">
        <f t="shared" si="4"/>
        <v>Mid Career</v>
      </c>
      <c r="AL156" t="str">
        <f t="shared" si="5"/>
        <v>High Income</v>
      </c>
    </row>
    <row r="157" spans="1:38"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IF(Table1[[#This Row],[Attrition]]="Yes",1,0)</f>
        <v>0</v>
      </c>
      <c r="AK157" t="str">
        <f t="shared" si="4"/>
        <v>Young</v>
      </c>
      <c r="AL157" t="str">
        <f t="shared" si="5"/>
        <v>Medium Income</v>
      </c>
    </row>
    <row r="158" spans="1:38"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IF(Table1[[#This Row],[Attrition]]="Yes",1,0)</f>
        <v>0</v>
      </c>
      <c r="AK158" t="str">
        <f t="shared" si="4"/>
        <v>Senior</v>
      </c>
      <c r="AL158" t="str">
        <f t="shared" si="5"/>
        <v>Medium Income</v>
      </c>
    </row>
    <row r="159" spans="1:38"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IF(Table1[[#This Row],[Attrition]]="Yes",1,0)</f>
        <v>0</v>
      </c>
      <c r="AK159" t="str">
        <f t="shared" si="4"/>
        <v>Senior</v>
      </c>
      <c r="AL159" t="str">
        <f t="shared" si="5"/>
        <v>Medium Income</v>
      </c>
    </row>
    <row r="160" spans="1:38"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IF(Table1[[#This Row],[Attrition]]="Yes",1,0)</f>
        <v>0</v>
      </c>
      <c r="AK160" t="str">
        <f t="shared" si="4"/>
        <v>Experienced</v>
      </c>
      <c r="AL160" t="str">
        <f t="shared" si="5"/>
        <v>High Income</v>
      </c>
    </row>
    <row r="161" spans="1:38"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IF(Table1[[#This Row],[Attrition]]="Yes",1,0)</f>
        <v>0</v>
      </c>
      <c r="AK161" t="str">
        <f t="shared" si="4"/>
        <v>Mid Career</v>
      </c>
      <c r="AL161" t="str">
        <f t="shared" si="5"/>
        <v>Low Income</v>
      </c>
    </row>
    <row r="162" spans="1:38"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IF(Table1[[#This Row],[Attrition]]="Yes",1,0)</f>
        <v>0</v>
      </c>
      <c r="AK162" t="str">
        <f t="shared" si="4"/>
        <v>Young</v>
      </c>
      <c r="AL162" t="str">
        <f t="shared" si="5"/>
        <v>Low Income</v>
      </c>
    </row>
    <row r="163" spans="1:38"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IF(Table1[[#This Row],[Attrition]]="Yes",1,0)</f>
        <v>0</v>
      </c>
      <c r="AK163" t="str">
        <f t="shared" si="4"/>
        <v>Young</v>
      </c>
      <c r="AL163" t="str">
        <f t="shared" si="5"/>
        <v>Low Income</v>
      </c>
    </row>
    <row r="164" spans="1:38"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IF(Table1[[#This Row],[Attrition]]="Yes",1,0)</f>
        <v>0</v>
      </c>
      <c r="AK164" t="str">
        <f t="shared" si="4"/>
        <v>Young</v>
      </c>
      <c r="AL164" t="str">
        <f t="shared" si="5"/>
        <v>Low Income</v>
      </c>
    </row>
    <row r="165" spans="1:38"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IF(Table1[[#This Row],[Attrition]]="Yes",1,0)</f>
        <v>0</v>
      </c>
      <c r="AK165" t="str">
        <f t="shared" si="4"/>
        <v>Senior</v>
      </c>
      <c r="AL165" t="str">
        <f t="shared" si="5"/>
        <v>High Income</v>
      </c>
    </row>
    <row r="166" spans="1:38"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IF(Table1[[#This Row],[Attrition]]="Yes",1,0)</f>
        <v>0</v>
      </c>
      <c r="AK166" t="str">
        <f t="shared" si="4"/>
        <v>Young</v>
      </c>
      <c r="AL166" t="str">
        <f t="shared" si="5"/>
        <v>Low Income</v>
      </c>
    </row>
    <row r="167" spans="1:38"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IF(Table1[[#This Row],[Attrition]]="Yes",1,0)</f>
        <v>0</v>
      </c>
      <c r="AK167" t="str">
        <f t="shared" si="4"/>
        <v>Senior</v>
      </c>
      <c r="AL167" t="str">
        <f t="shared" si="5"/>
        <v>High Income</v>
      </c>
    </row>
    <row r="168" spans="1:38"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IF(Table1[[#This Row],[Attrition]]="Yes",1,0)</f>
        <v>0</v>
      </c>
      <c r="AK168" t="str">
        <f t="shared" si="4"/>
        <v>Experienced</v>
      </c>
      <c r="AL168" t="str">
        <f t="shared" si="5"/>
        <v>Low Income</v>
      </c>
    </row>
    <row r="169" spans="1:38"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IF(Table1[[#This Row],[Attrition]]="Yes",1,0)</f>
        <v>0</v>
      </c>
      <c r="AK169" t="str">
        <f t="shared" si="4"/>
        <v>Mid Career</v>
      </c>
      <c r="AL169" t="str">
        <f t="shared" si="5"/>
        <v>High Income</v>
      </c>
    </row>
    <row r="170" spans="1:38"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IF(Table1[[#This Row],[Attrition]]="Yes",1,0)</f>
        <v>0</v>
      </c>
      <c r="AK170" t="str">
        <f t="shared" si="4"/>
        <v>Mid Career</v>
      </c>
      <c r="AL170" t="str">
        <f t="shared" si="5"/>
        <v>High Income</v>
      </c>
    </row>
    <row r="171" spans="1:38"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IF(Table1[[#This Row],[Attrition]]="Yes",1,0)</f>
        <v>0</v>
      </c>
      <c r="AK171" t="str">
        <f t="shared" si="4"/>
        <v>Mid Career</v>
      </c>
      <c r="AL171" t="str">
        <f t="shared" si="5"/>
        <v>Medium Income</v>
      </c>
    </row>
    <row r="172" spans="1:38"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IF(Table1[[#This Row],[Attrition]]="Yes",1,0)</f>
        <v>0</v>
      </c>
      <c r="AK172" t="str">
        <f t="shared" si="4"/>
        <v>Young</v>
      </c>
      <c r="AL172" t="str">
        <f t="shared" si="5"/>
        <v>Medium Income</v>
      </c>
    </row>
    <row r="173" spans="1:38"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IF(Table1[[#This Row],[Attrition]]="Yes",1,0)</f>
        <v>1</v>
      </c>
      <c r="AK173" t="str">
        <f t="shared" si="4"/>
        <v>Young</v>
      </c>
      <c r="AL173" t="str">
        <f t="shared" si="5"/>
        <v>Low Income</v>
      </c>
    </row>
    <row r="174" spans="1:38"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IF(Table1[[#This Row],[Attrition]]="Yes",1,0)</f>
        <v>0</v>
      </c>
      <c r="AK174" t="str">
        <f t="shared" si="4"/>
        <v>Mid Career</v>
      </c>
      <c r="AL174" t="str">
        <f t="shared" si="5"/>
        <v>Low Income</v>
      </c>
    </row>
    <row r="175" spans="1:38"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IF(Table1[[#This Row],[Attrition]]="Yes",1,0)</f>
        <v>0</v>
      </c>
      <c r="AK175" t="str">
        <f t="shared" si="4"/>
        <v>Mid Career</v>
      </c>
      <c r="AL175" t="str">
        <f t="shared" si="5"/>
        <v>Medium Income</v>
      </c>
    </row>
    <row r="176" spans="1:38"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IF(Table1[[#This Row],[Attrition]]="Yes",1,0)</f>
        <v>0</v>
      </c>
      <c r="AK176" t="str">
        <f t="shared" si="4"/>
        <v>Experienced</v>
      </c>
      <c r="AL176" t="str">
        <f t="shared" si="5"/>
        <v>Medium Income</v>
      </c>
    </row>
    <row r="177" spans="1:38"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IF(Table1[[#This Row],[Attrition]]="Yes",1,0)</f>
        <v>0</v>
      </c>
      <c r="AK177" t="str">
        <f t="shared" si="4"/>
        <v>Senior</v>
      </c>
      <c r="AL177" t="str">
        <f t="shared" si="5"/>
        <v>Medium Income</v>
      </c>
    </row>
    <row r="178" spans="1:38"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IF(Table1[[#This Row],[Attrition]]="Yes",1,0)</f>
        <v>0</v>
      </c>
      <c r="AK178" t="str">
        <f t="shared" si="4"/>
        <v>Mid Career</v>
      </c>
      <c r="AL178" t="str">
        <f t="shared" si="5"/>
        <v>Low Income</v>
      </c>
    </row>
    <row r="179" spans="1:38"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IF(Table1[[#This Row],[Attrition]]="Yes",1,0)</f>
        <v>1</v>
      </c>
      <c r="AK179" t="str">
        <f t="shared" si="4"/>
        <v>Young</v>
      </c>
      <c r="AL179" t="str">
        <f t="shared" si="5"/>
        <v>Low Income</v>
      </c>
    </row>
    <row r="180" spans="1:38"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IF(Table1[[#This Row],[Attrition]]="Yes",1,0)</f>
        <v>0</v>
      </c>
      <c r="AK180" t="str">
        <f t="shared" si="4"/>
        <v>Experienced</v>
      </c>
      <c r="AL180" t="str">
        <f t="shared" si="5"/>
        <v>High Income</v>
      </c>
    </row>
    <row r="181" spans="1:38"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IF(Table1[[#This Row],[Attrition]]="Yes",1,0)</f>
        <v>0</v>
      </c>
      <c r="AK181" t="str">
        <f t="shared" si="4"/>
        <v>Mid Career</v>
      </c>
      <c r="AL181" t="str">
        <f t="shared" si="5"/>
        <v>Low Income</v>
      </c>
    </row>
    <row r="182" spans="1:38"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IF(Table1[[#This Row],[Attrition]]="Yes",1,0)</f>
        <v>0</v>
      </c>
      <c r="AK182" t="str">
        <f t="shared" si="4"/>
        <v>Mid Career</v>
      </c>
      <c r="AL182" t="str">
        <f t="shared" si="5"/>
        <v>Medium Income</v>
      </c>
    </row>
    <row r="183" spans="1:38"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IF(Table1[[#This Row],[Attrition]]="Yes",1,0)</f>
        <v>0</v>
      </c>
      <c r="AK183" t="str">
        <f t="shared" si="4"/>
        <v>Mid Career</v>
      </c>
      <c r="AL183" t="str">
        <f t="shared" si="5"/>
        <v>Low Income</v>
      </c>
    </row>
    <row r="184" spans="1:38"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IF(Table1[[#This Row],[Attrition]]="Yes",1,0)</f>
        <v>1</v>
      </c>
      <c r="AK184" t="str">
        <f t="shared" si="4"/>
        <v>Experienced</v>
      </c>
      <c r="AL184" t="str">
        <f t="shared" si="5"/>
        <v>Medium Income</v>
      </c>
    </row>
    <row r="185" spans="1:38"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IF(Table1[[#This Row],[Attrition]]="Yes",1,0)</f>
        <v>0</v>
      </c>
      <c r="AK185" t="str">
        <f t="shared" si="4"/>
        <v>Senior</v>
      </c>
      <c r="AL185" t="str">
        <f t="shared" si="5"/>
        <v>Medium Income</v>
      </c>
    </row>
    <row r="186" spans="1:38"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IF(Table1[[#This Row],[Attrition]]="Yes",1,0)</f>
        <v>0</v>
      </c>
      <c r="AK186" t="str">
        <f t="shared" si="4"/>
        <v>Senior</v>
      </c>
      <c r="AL186" t="str">
        <f t="shared" si="5"/>
        <v>Medium Income</v>
      </c>
    </row>
    <row r="187" spans="1:38"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IF(Table1[[#This Row],[Attrition]]="Yes",1,0)</f>
        <v>0</v>
      </c>
      <c r="AK187" t="str">
        <f t="shared" si="4"/>
        <v>Mid Career</v>
      </c>
      <c r="AL187" t="str">
        <f t="shared" si="5"/>
        <v>Low Income</v>
      </c>
    </row>
    <row r="188" spans="1:38"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IF(Table1[[#This Row],[Attrition]]="Yes",1,0)</f>
        <v>0</v>
      </c>
      <c r="AK188" t="str">
        <f t="shared" si="4"/>
        <v>Experienced</v>
      </c>
      <c r="AL188" t="str">
        <f t="shared" si="5"/>
        <v>High Income</v>
      </c>
    </row>
    <row r="189" spans="1:38"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IF(Table1[[#This Row],[Attrition]]="Yes",1,0)</f>
        <v>0</v>
      </c>
      <c r="AK189" t="str">
        <f t="shared" si="4"/>
        <v>Senior</v>
      </c>
      <c r="AL189" t="str">
        <f t="shared" si="5"/>
        <v>High Income</v>
      </c>
    </row>
    <row r="190" spans="1:38"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IF(Table1[[#This Row],[Attrition]]="Yes",1,0)</f>
        <v>0</v>
      </c>
      <c r="AK190" t="str">
        <f t="shared" si="4"/>
        <v>Mid Career</v>
      </c>
      <c r="AL190" t="str">
        <f t="shared" si="5"/>
        <v>High Income</v>
      </c>
    </row>
    <row r="191" spans="1:38"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IF(Table1[[#This Row],[Attrition]]="Yes",1,0)</f>
        <v>0</v>
      </c>
      <c r="AK191" t="str">
        <f t="shared" si="4"/>
        <v>Senior</v>
      </c>
      <c r="AL191" t="str">
        <f t="shared" si="5"/>
        <v>High Income</v>
      </c>
    </row>
    <row r="192" spans="1:38"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IF(Table1[[#This Row],[Attrition]]="Yes",1,0)</f>
        <v>0</v>
      </c>
      <c r="AK192" t="str">
        <f t="shared" si="4"/>
        <v>Senior</v>
      </c>
      <c r="AL192" t="str">
        <f t="shared" si="5"/>
        <v>High Income</v>
      </c>
    </row>
    <row r="193" spans="1:38"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IF(Table1[[#This Row],[Attrition]]="Yes",1,0)</f>
        <v>0</v>
      </c>
      <c r="AK193" t="str">
        <f t="shared" si="4"/>
        <v>Young</v>
      </c>
      <c r="AL193" t="str">
        <f t="shared" si="5"/>
        <v>Low Income</v>
      </c>
    </row>
    <row r="194" spans="1:38"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IF(Table1[[#This Row],[Attrition]]="Yes",1,0)</f>
        <v>1</v>
      </c>
      <c r="AK194" t="str">
        <f t="shared" ref="AK194:AK257" si="6">IF(A194&lt;30,"Young",
IF(A194&lt;40,"Mid Career",
IF(A194&lt;50,"Experienced","Senior")))</f>
        <v>Mid Career</v>
      </c>
      <c r="AL194" t="str">
        <f t="shared" ref="AL194:AL257" si="7">IF(S194&lt;3000,"Low Income",IF(S194&lt;7000,"Medium Income","High Income"))</f>
        <v>Medium Income</v>
      </c>
    </row>
    <row r="195" spans="1:38"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IF(Table1[[#This Row],[Attrition]]="Yes",1,0)</f>
        <v>0</v>
      </c>
      <c r="AK195" t="str">
        <f t="shared" si="6"/>
        <v>Experienced</v>
      </c>
      <c r="AL195" t="str">
        <f t="shared" si="7"/>
        <v>Low Income</v>
      </c>
    </row>
    <row r="196" spans="1:38"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IF(Table1[[#This Row],[Attrition]]="Yes",1,0)</f>
        <v>0</v>
      </c>
      <c r="AK196" t="str">
        <f t="shared" si="6"/>
        <v>Experienced</v>
      </c>
      <c r="AL196" t="str">
        <f t="shared" si="7"/>
        <v>High Income</v>
      </c>
    </row>
    <row r="197" spans="1:38"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IF(Table1[[#This Row],[Attrition]]="Yes",1,0)</f>
        <v>0</v>
      </c>
      <c r="AK197" t="str">
        <f t="shared" si="6"/>
        <v>Mid Career</v>
      </c>
      <c r="AL197" t="str">
        <f t="shared" si="7"/>
        <v>Medium Income</v>
      </c>
    </row>
    <row r="198" spans="1:38"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IF(Table1[[#This Row],[Attrition]]="Yes",1,0)</f>
        <v>0</v>
      </c>
      <c r="AK198" t="str">
        <f t="shared" si="6"/>
        <v>Mid Career</v>
      </c>
      <c r="AL198" t="str">
        <f t="shared" si="7"/>
        <v>Medium Income</v>
      </c>
    </row>
    <row r="199" spans="1:38"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IF(Table1[[#This Row],[Attrition]]="Yes",1,0)</f>
        <v>0</v>
      </c>
      <c r="AK199" t="str">
        <f t="shared" si="6"/>
        <v>Experienced</v>
      </c>
      <c r="AL199" t="str">
        <f t="shared" si="7"/>
        <v>Medium Income</v>
      </c>
    </row>
    <row r="200" spans="1:38"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IF(Table1[[#This Row],[Attrition]]="Yes",1,0)</f>
        <v>0</v>
      </c>
      <c r="AK200" t="str">
        <f t="shared" si="6"/>
        <v>Mid Career</v>
      </c>
      <c r="AL200" t="str">
        <f t="shared" si="7"/>
        <v>Medium Income</v>
      </c>
    </row>
    <row r="201" spans="1:38"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IF(Table1[[#This Row],[Attrition]]="Yes",1,0)</f>
        <v>0</v>
      </c>
      <c r="AK201" t="str">
        <f t="shared" si="6"/>
        <v>Mid Career</v>
      </c>
      <c r="AL201" t="str">
        <f t="shared" si="7"/>
        <v>Medium Income</v>
      </c>
    </row>
    <row r="202" spans="1:38"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IF(Table1[[#This Row],[Attrition]]="Yes",1,0)</f>
        <v>0</v>
      </c>
      <c r="AK202" t="str">
        <f t="shared" si="6"/>
        <v>Young</v>
      </c>
      <c r="AL202" t="str">
        <f t="shared" si="7"/>
        <v>Medium Income</v>
      </c>
    </row>
    <row r="203" spans="1:38"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IF(Table1[[#This Row],[Attrition]]="Yes",1,0)</f>
        <v>0</v>
      </c>
      <c r="AK203" t="str">
        <f t="shared" si="6"/>
        <v>Experienced</v>
      </c>
      <c r="AL203" t="str">
        <f t="shared" si="7"/>
        <v>Medium Income</v>
      </c>
    </row>
    <row r="204" spans="1:38"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IF(Table1[[#This Row],[Attrition]]="Yes",1,0)</f>
        <v>0</v>
      </c>
      <c r="AK204" t="str">
        <f t="shared" si="6"/>
        <v>Mid Career</v>
      </c>
      <c r="AL204" t="str">
        <f t="shared" si="7"/>
        <v>Medium Income</v>
      </c>
    </row>
    <row r="205" spans="1:38"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IF(Table1[[#This Row],[Attrition]]="Yes",1,0)</f>
        <v>0</v>
      </c>
      <c r="AK205" t="str">
        <f t="shared" si="6"/>
        <v>Experienced</v>
      </c>
      <c r="AL205" t="str">
        <f t="shared" si="7"/>
        <v>Low Income</v>
      </c>
    </row>
    <row r="206" spans="1:38"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IF(Table1[[#This Row],[Attrition]]="Yes",1,0)</f>
        <v>1</v>
      </c>
      <c r="AK206" t="str">
        <f t="shared" si="6"/>
        <v>Mid Career</v>
      </c>
      <c r="AL206" t="str">
        <f t="shared" si="7"/>
        <v>Medium Income</v>
      </c>
    </row>
    <row r="207" spans="1:38"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IF(Table1[[#This Row],[Attrition]]="Yes",1,0)</f>
        <v>1</v>
      </c>
      <c r="AK207" t="str">
        <f t="shared" si="6"/>
        <v>Young</v>
      </c>
      <c r="AL207" t="str">
        <f t="shared" si="7"/>
        <v>High Income</v>
      </c>
    </row>
    <row r="208" spans="1:38"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IF(Table1[[#This Row],[Attrition]]="Yes",1,0)</f>
        <v>0</v>
      </c>
      <c r="AK208" t="str">
        <f t="shared" si="6"/>
        <v>Young</v>
      </c>
      <c r="AL208" t="str">
        <f t="shared" si="7"/>
        <v>Low Income</v>
      </c>
    </row>
    <row r="209" spans="1:38"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IF(Table1[[#This Row],[Attrition]]="Yes",1,0)</f>
        <v>0</v>
      </c>
      <c r="AK209" t="str">
        <f t="shared" si="6"/>
        <v>Mid Career</v>
      </c>
      <c r="AL209" t="str">
        <f t="shared" si="7"/>
        <v>Low Income</v>
      </c>
    </row>
    <row r="210" spans="1:38"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IF(Table1[[#This Row],[Attrition]]="Yes",1,0)</f>
        <v>0</v>
      </c>
      <c r="AK210" t="str">
        <f t="shared" si="6"/>
        <v>Experienced</v>
      </c>
      <c r="AL210" t="str">
        <f t="shared" si="7"/>
        <v>Medium Income</v>
      </c>
    </row>
    <row r="211" spans="1:38"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IF(Table1[[#This Row],[Attrition]]="Yes",1,0)</f>
        <v>0</v>
      </c>
      <c r="AK211" t="str">
        <f t="shared" si="6"/>
        <v>Experienced</v>
      </c>
      <c r="AL211" t="str">
        <f t="shared" si="7"/>
        <v>High Income</v>
      </c>
    </row>
    <row r="212" spans="1:38"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IF(Table1[[#This Row],[Attrition]]="Yes",1,0)</f>
        <v>1</v>
      </c>
      <c r="AK212" t="str">
        <f t="shared" si="6"/>
        <v>Mid Career</v>
      </c>
      <c r="AL212" t="str">
        <f t="shared" si="7"/>
        <v>High Income</v>
      </c>
    </row>
    <row r="213" spans="1:38"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IF(Table1[[#This Row],[Attrition]]="Yes",1,0)</f>
        <v>0</v>
      </c>
      <c r="AK213" t="str">
        <f t="shared" si="6"/>
        <v>Mid Career</v>
      </c>
      <c r="AL213" t="str">
        <f t="shared" si="7"/>
        <v>High Income</v>
      </c>
    </row>
    <row r="214" spans="1:38"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IF(Table1[[#This Row],[Attrition]]="Yes",1,0)</f>
        <v>0</v>
      </c>
      <c r="AK214" t="str">
        <f t="shared" si="6"/>
        <v>Young</v>
      </c>
      <c r="AL214" t="str">
        <f t="shared" si="7"/>
        <v>High Income</v>
      </c>
    </row>
    <row r="215" spans="1:38"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IF(Table1[[#This Row],[Attrition]]="Yes",1,0)</f>
        <v>0</v>
      </c>
      <c r="AK215" t="str">
        <f t="shared" si="6"/>
        <v>Senior</v>
      </c>
      <c r="AL215" t="str">
        <f t="shared" si="7"/>
        <v>High Income</v>
      </c>
    </row>
    <row r="216" spans="1:38"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IF(Table1[[#This Row],[Attrition]]="Yes",1,0)</f>
        <v>1</v>
      </c>
      <c r="AK216" t="str">
        <f t="shared" si="6"/>
        <v>Mid Career</v>
      </c>
      <c r="AL216" t="str">
        <f t="shared" si="7"/>
        <v>Low Income</v>
      </c>
    </row>
    <row r="217" spans="1:38"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IF(Table1[[#This Row],[Attrition]]="Yes",1,0)</f>
        <v>0</v>
      </c>
      <c r="AK217" t="str">
        <f t="shared" si="6"/>
        <v>Experienced</v>
      </c>
      <c r="AL217" t="str">
        <f t="shared" si="7"/>
        <v>High Income</v>
      </c>
    </row>
    <row r="218" spans="1:38"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IF(Table1[[#This Row],[Attrition]]="Yes",1,0)</f>
        <v>1</v>
      </c>
      <c r="AK218" t="str">
        <f t="shared" si="6"/>
        <v>Mid Career</v>
      </c>
      <c r="AL218" t="str">
        <f t="shared" si="7"/>
        <v>Medium Income</v>
      </c>
    </row>
    <row r="219" spans="1:38"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IF(Table1[[#This Row],[Attrition]]="Yes",1,0)</f>
        <v>1</v>
      </c>
      <c r="AK219" t="str">
        <f t="shared" si="6"/>
        <v>Young</v>
      </c>
      <c r="AL219" t="str">
        <f t="shared" si="7"/>
        <v>Low Income</v>
      </c>
    </row>
    <row r="220" spans="1:38"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IF(Table1[[#This Row],[Attrition]]="Yes",1,0)</f>
        <v>0</v>
      </c>
      <c r="AK220" t="str">
        <f t="shared" si="6"/>
        <v>Experienced</v>
      </c>
      <c r="AL220" t="str">
        <f t="shared" si="7"/>
        <v>High Income</v>
      </c>
    </row>
    <row r="221" spans="1:38"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IF(Table1[[#This Row],[Attrition]]="Yes",1,0)</f>
        <v>0</v>
      </c>
      <c r="AK221" t="str">
        <f t="shared" si="6"/>
        <v>Senior</v>
      </c>
      <c r="AL221" t="str">
        <f t="shared" si="7"/>
        <v>Medium Income</v>
      </c>
    </row>
    <row r="222" spans="1:38"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IF(Table1[[#This Row],[Attrition]]="Yes",1,0)</f>
        <v>0</v>
      </c>
      <c r="AK222" t="str">
        <f t="shared" si="6"/>
        <v>Mid Career</v>
      </c>
      <c r="AL222" t="str">
        <f t="shared" si="7"/>
        <v>Medium Income</v>
      </c>
    </row>
    <row r="223" spans="1:38"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IF(Table1[[#This Row],[Attrition]]="Yes",1,0)</f>
        <v>0</v>
      </c>
      <c r="AK223" t="str">
        <f t="shared" si="6"/>
        <v>Mid Career</v>
      </c>
      <c r="AL223" t="str">
        <f t="shared" si="7"/>
        <v>Low Income</v>
      </c>
    </row>
    <row r="224" spans="1:38"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IF(Table1[[#This Row],[Attrition]]="Yes",1,0)</f>
        <v>0</v>
      </c>
      <c r="AK224" t="str">
        <f t="shared" si="6"/>
        <v>Mid Career</v>
      </c>
      <c r="AL224" t="str">
        <f t="shared" si="7"/>
        <v>High Income</v>
      </c>
    </row>
    <row r="225" spans="1:38"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IF(Table1[[#This Row],[Attrition]]="Yes",1,0)</f>
        <v>0</v>
      </c>
      <c r="AK225" t="str">
        <f t="shared" si="6"/>
        <v>Mid Career</v>
      </c>
      <c r="AL225" t="str">
        <f t="shared" si="7"/>
        <v>High Income</v>
      </c>
    </row>
    <row r="226" spans="1:38"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IF(Table1[[#This Row],[Attrition]]="Yes",1,0)</f>
        <v>0</v>
      </c>
      <c r="AK226" t="str">
        <f t="shared" si="6"/>
        <v>Mid Career</v>
      </c>
      <c r="AL226" t="str">
        <f t="shared" si="7"/>
        <v>Medium Income</v>
      </c>
    </row>
    <row r="227" spans="1:38"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IF(Table1[[#This Row],[Attrition]]="Yes",1,0)</f>
        <v>0</v>
      </c>
      <c r="AK227" t="str">
        <f t="shared" si="6"/>
        <v>Senior</v>
      </c>
      <c r="AL227" t="str">
        <f t="shared" si="7"/>
        <v>Low Income</v>
      </c>
    </row>
    <row r="228" spans="1:38"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IF(Table1[[#This Row],[Attrition]]="Yes",1,0)</f>
        <v>0</v>
      </c>
      <c r="AK228" t="str">
        <f t="shared" si="6"/>
        <v>Mid Career</v>
      </c>
      <c r="AL228" t="str">
        <f t="shared" si="7"/>
        <v>Low Income</v>
      </c>
    </row>
    <row r="229" spans="1:38"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IF(Table1[[#This Row],[Attrition]]="Yes",1,0)</f>
        <v>0</v>
      </c>
      <c r="AK229" t="str">
        <f t="shared" si="6"/>
        <v>Young</v>
      </c>
      <c r="AL229" t="str">
        <f t="shared" si="7"/>
        <v>High Income</v>
      </c>
    </row>
    <row r="230" spans="1:38"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IF(Table1[[#This Row],[Attrition]]="Yes",1,0)</f>
        <v>0</v>
      </c>
      <c r="AK230" t="str">
        <f t="shared" si="6"/>
        <v>Mid Career</v>
      </c>
      <c r="AL230" t="str">
        <f t="shared" si="7"/>
        <v>High Income</v>
      </c>
    </row>
    <row r="231" spans="1:38"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IF(Table1[[#This Row],[Attrition]]="Yes",1,0)</f>
        <v>1</v>
      </c>
      <c r="AK231" t="str">
        <f t="shared" si="6"/>
        <v>Young</v>
      </c>
      <c r="AL231" t="str">
        <f t="shared" si="7"/>
        <v>Low Income</v>
      </c>
    </row>
    <row r="232" spans="1:38"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IF(Table1[[#This Row],[Attrition]]="Yes",1,0)</f>
        <v>0</v>
      </c>
      <c r="AK232" t="str">
        <f t="shared" si="6"/>
        <v>Senior</v>
      </c>
      <c r="AL232" t="str">
        <f t="shared" si="7"/>
        <v>Medium Income</v>
      </c>
    </row>
    <row r="233" spans="1:38"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IF(Table1[[#This Row],[Attrition]]="Yes",1,0)</f>
        <v>0</v>
      </c>
      <c r="AK233" t="str">
        <f t="shared" si="6"/>
        <v>Experienced</v>
      </c>
      <c r="AL233" t="str">
        <f t="shared" si="7"/>
        <v>High Income</v>
      </c>
    </row>
    <row r="234" spans="1:38"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IF(Table1[[#This Row],[Attrition]]="Yes",1,0)</f>
        <v>0</v>
      </c>
      <c r="AK234" t="str">
        <f t="shared" si="6"/>
        <v>Senior</v>
      </c>
      <c r="AL234" t="str">
        <f t="shared" si="7"/>
        <v>Low Income</v>
      </c>
    </row>
    <row r="235" spans="1:38"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IF(Table1[[#This Row],[Attrition]]="Yes",1,0)</f>
        <v>0</v>
      </c>
      <c r="AK235" t="str">
        <f t="shared" si="6"/>
        <v>Senior</v>
      </c>
      <c r="AL235" t="str">
        <f t="shared" si="7"/>
        <v>High Income</v>
      </c>
    </row>
    <row r="236" spans="1:38"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IF(Table1[[#This Row],[Attrition]]="Yes",1,0)</f>
        <v>1</v>
      </c>
      <c r="AK236" t="str">
        <f t="shared" si="6"/>
        <v>Mid Career</v>
      </c>
      <c r="AL236" t="str">
        <f t="shared" si="7"/>
        <v>Low Income</v>
      </c>
    </row>
    <row r="237" spans="1:38"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IF(Table1[[#This Row],[Attrition]]="Yes",1,0)</f>
        <v>0</v>
      </c>
      <c r="AK237" t="str">
        <f t="shared" si="6"/>
        <v>Experienced</v>
      </c>
      <c r="AL237" t="str">
        <f t="shared" si="7"/>
        <v>High Income</v>
      </c>
    </row>
    <row r="238" spans="1:38"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IF(Table1[[#This Row],[Attrition]]="Yes",1,0)</f>
        <v>1</v>
      </c>
      <c r="AK238" t="str">
        <f t="shared" si="6"/>
        <v>Mid Career</v>
      </c>
      <c r="AL238" t="str">
        <f t="shared" si="7"/>
        <v>Low Income</v>
      </c>
    </row>
    <row r="239" spans="1:38"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IF(Table1[[#This Row],[Attrition]]="Yes",1,0)</f>
        <v>0</v>
      </c>
      <c r="AK239" t="str">
        <f t="shared" si="6"/>
        <v>Senior</v>
      </c>
      <c r="AL239" t="str">
        <f t="shared" si="7"/>
        <v>High Income</v>
      </c>
    </row>
    <row r="240" spans="1:38"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IF(Table1[[#This Row],[Attrition]]="Yes",1,0)</f>
        <v>0</v>
      </c>
      <c r="AK240" t="str">
        <f t="shared" si="6"/>
        <v>Mid Career</v>
      </c>
      <c r="AL240" t="str">
        <f t="shared" si="7"/>
        <v>Medium Income</v>
      </c>
    </row>
    <row r="241" spans="1:38"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IF(Table1[[#This Row],[Attrition]]="Yes",1,0)</f>
        <v>1</v>
      </c>
      <c r="AK241" t="str">
        <f t="shared" si="6"/>
        <v>Mid Career</v>
      </c>
      <c r="AL241" t="str">
        <f t="shared" si="7"/>
        <v>Medium Income</v>
      </c>
    </row>
    <row r="242" spans="1:38"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IF(Table1[[#This Row],[Attrition]]="Yes",1,0)</f>
        <v>0</v>
      </c>
      <c r="AK242" t="str">
        <f t="shared" si="6"/>
        <v>Mid Career</v>
      </c>
      <c r="AL242" t="str">
        <f t="shared" si="7"/>
        <v>Low Income</v>
      </c>
    </row>
    <row r="243" spans="1:38"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IF(Table1[[#This Row],[Attrition]]="Yes",1,0)</f>
        <v>0</v>
      </c>
      <c r="AK243" t="str">
        <f t="shared" si="6"/>
        <v>Mid Career</v>
      </c>
      <c r="AL243" t="str">
        <f t="shared" si="7"/>
        <v>Medium Income</v>
      </c>
    </row>
    <row r="244" spans="1:38"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IF(Table1[[#This Row],[Attrition]]="Yes",1,0)</f>
        <v>0</v>
      </c>
      <c r="AK244" t="str">
        <f t="shared" si="6"/>
        <v>Experienced</v>
      </c>
      <c r="AL244" t="str">
        <f t="shared" si="7"/>
        <v>Medium Income</v>
      </c>
    </row>
    <row r="245" spans="1:38"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IF(Table1[[#This Row],[Attrition]]="Yes",1,0)</f>
        <v>0</v>
      </c>
      <c r="AK245" t="str">
        <f t="shared" si="6"/>
        <v>Experienced</v>
      </c>
      <c r="AL245" t="str">
        <f t="shared" si="7"/>
        <v>Medium Income</v>
      </c>
    </row>
    <row r="246" spans="1:38"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IF(Table1[[#This Row],[Attrition]]="Yes",1,0)</f>
        <v>0</v>
      </c>
      <c r="AK246" t="str">
        <f t="shared" si="6"/>
        <v>Experienced</v>
      </c>
      <c r="AL246" t="str">
        <f t="shared" si="7"/>
        <v>High Income</v>
      </c>
    </row>
    <row r="247" spans="1:38"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IF(Table1[[#This Row],[Attrition]]="Yes",1,0)</f>
        <v>0</v>
      </c>
      <c r="AK247" t="str">
        <f t="shared" si="6"/>
        <v>Mid Career</v>
      </c>
      <c r="AL247" t="str">
        <f t="shared" si="7"/>
        <v>High Income</v>
      </c>
    </row>
    <row r="248" spans="1:38"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IF(Table1[[#This Row],[Attrition]]="Yes",1,0)</f>
        <v>0</v>
      </c>
      <c r="AK248" t="str">
        <f t="shared" si="6"/>
        <v>Mid Career</v>
      </c>
      <c r="AL248" t="str">
        <f t="shared" si="7"/>
        <v>Low Income</v>
      </c>
    </row>
    <row r="249" spans="1:38"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IF(Table1[[#This Row],[Attrition]]="Yes",1,0)</f>
        <v>0</v>
      </c>
      <c r="AK249" t="str">
        <f t="shared" si="6"/>
        <v>Mid Career</v>
      </c>
      <c r="AL249" t="str">
        <f t="shared" si="7"/>
        <v>Medium Income</v>
      </c>
    </row>
    <row r="250" spans="1:38"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IF(Table1[[#This Row],[Attrition]]="Yes",1,0)</f>
        <v>0</v>
      </c>
      <c r="AK250" t="str">
        <f t="shared" si="6"/>
        <v>Mid Career</v>
      </c>
      <c r="AL250" t="str">
        <f t="shared" si="7"/>
        <v>Medium Income</v>
      </c>
    </row>
    <row r="251" spans="1:38"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IF(Table1[[#This Row],[Attrition]]="Yes",1,0)</f>
        <v>0</v>
      </c>
      <c r="AK251" t="str">
        <f t="shared" si="6"/>
        <v>Experienced</v>
      </c>
      <c r="AL251" t="str">
        <f t="shared" si="7"/>
        <v>Medium Income</v>
      </c>
    </row>
    <row r="252" spans="1:38"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IF(Table1[[#This Row],[Attrition]]="Yes",1,0)</f>
        <v>1</v>
      </c>
      <c r="AK252" t="str">
        <f t="shared" si="6"/>
        <v>Mid Career</v>
      </c>
      <c r="AL252" t="str">
        <f t="shared" si="7"/>
        <v>High Income</v>
      </c>
    </row>
    <row r="253" spans="1:38"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IF(Table1[[#This Row],[Attrition]]="Yes",1,0)</f>
        <v>0</v>
      </c>
      <c r="AK253" t="str">
        <f t="shared" si="6"/>
        <v>Mid Career</v>
      </c>
      <c r="AL253" t="str">
        <f t="shared" si="7"/>
        <v>High Income</v>
      </c>
    </row>
    <row r="254" spans="1:38"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IF(Table1[[#This Row],[Attrition]]="Yes",1,0)</f>
        <v>0</v>
      </c>
      <c r="AK254" t="str">
        <f t="shared" si="6"/>
        <v>Young</v>
      </c>
      <c r="AL254" t="str">
        <f t="shared" si="7"/>
        <v>Low Income</v>
      </c>
    </row>
    <row r="255" spans="1:38"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IF(Table1[[#This Row],[Attrition]]="Yes",1,0)</f>
        <v>0</v>
      </c>
      <c r="AK255" t="str">
        <f t="shared" si="6"/>
        <v>Experienced</v>
      </c>
      <c r="AL255" t="str">
        <f t="shared" si="7"/>
        <v>Medium Income</v>
      </c>
    </row>
    <row r="256" spans="1:38"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IF(Table1[[#This Row],[Attrition]]="Yes",1,0)</f>
        <v>0</v>
      </c>
      <c r="AK256" t="str">
        <f t="shared" si="6"/>
        <v>Young</v>
      </c>
      <c r="AL256" t="str">
        <f t="shared" si="7"/>
        <v>Medium Income</v>
      </c>
    </row>
    <row r="257" spans="1:38"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IF(Table1[[#This Row],[Attrition]]="Yes",1,0)</f>
        <v>0</v>
      </c>
      <c r="AK257" t="str">
        <f t="shared" si="6"/>
        <v>Young</v>
      </c>
      <c r="AL257" t="str">
        <f t="shared" si="7"/>
        <v>Medium Income</v>
      </c>
    </row>
    <row r="258" spans="1:38"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IF(Table1[[#This Row],[Attrition]]="Yes",1,0)</f>
        <v>0</v>
      </c>
      <c r="AK258" t="str">
        <f t="shared" ref="AK258:AK321" si="8">IF(A258&lt;30,"Young",
IF(A258&lt;40,"Mid Career",
IF(A258&lt;50,"Experienced","Senior")))</f>
        <v>Experienced</v>
      </c>
      <c r="AL258" t="str">
        <f t="shared" ref="AL258:AL321" si="9">IF(S258&lt;3000,"Low Income",IF(S258&lt;7000,"Medium Income","High Income"))</f>
        <v>Low Income</v>
      </c>
    </row>
    <row r="259" spans="1:38"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IF(Table1[[#This Row],[Attrition]]="Yes",1,0)</f>
        <v>0</v>
      </c>
      <c r="AK259" t="str">
        <f t="shared" si="8"/>
        <v>Experienced</v>
      </c>
      <c r="AL259" t="str">
        <f t="shared" si="9"/>
        <v>High Income</v>
      </c>
    </row>
    <row r="260" spans="1:38"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IF(Table1[[#This Row],[Attrition]]="Yes",1,0)</f>
        <v>0</v>
      </c>
      <c r="AK260" t="str">
        <f t="shared" si="8"/>
        <v>Senior</v>
      </c>
      <c r="AL260" t="str">
        <f t="shared" si="9"/>
        <v>Low Income</v>
      </c>
    </row>
    <row r="261" spans="1:38"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IF(Table1[[#This Row],[Attrition]]="Yes",1,0)</f>
        <v>1</v>
      </c>
      <c r="AK261" t="str">
        <f t="shared" si="8"/>
        <v>Mid Career</v>
      </c>
      <c r="AL261" t="str">
        <f t="shared" si="9"/>
        <v>Medium Income</v>
      </c>
    </row>
    <row r="262" spans="1:38"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IF(Table1[[#This Row],[Attrition]]="Yes",1,0)</f>
        <v>0</v>
      </c>
      <c r="AK262" t="str">
        <f t="shared" si="8"/>
        <v>Mid Career</v>
      </c>
      <c r="AL262" t="str">
        <f t="shared" si="9"/>
        <v>Low Income</v>
      </c>
    </row>
    <row r="263" spans="1:38"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IF(Table1[[#This Row],[Attrition]]="Yes",1,0)</f>
        <v>0</v>
      </c>
      <c r="AK263" t="str">
        <f t="shared" si="8"/>
        <v>Mid Career</v>
      </c>
      <c r="AL263" t="str">
        <f t="shared" si="9"/>
        <v>Medium Income</v>
      </c>
    </row>
    <row r="264" spans="1:38"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IF(Table1[[#This Row],[Attrition]]="Yes",1,0)</f>
        <v>0</v>
      </c>
      <c r="AK264" t="str">
        <f t="shared" si="8"/>
        <v>Mid Career</v>
      </c>
      <c r="AL264" t="str">
        <f t="shared" si="9"/>
        <v>Low Income</v>
      </c>
    </row>
    <row r="265" spans="1:38"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IF(Table1[[#This Row],[Attrition]]="Yes",1,0)</f>
        <v>0</v>
      </c>
      <c r="AK265" t="str">
        <f t="shared" si="8"/>
        <v>Experienced</v>
      </c>
      <c r="AL265" t="str">
        <f t="shared" si="9"/>
        <v>High Income</v>
      </c>
    </row>
    <row r="266" spans="1:38"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IF(Table1[[#This Row],[Attrition]]="Yes",1,0)</f>
        <v>1</v>
      </c>
      <c r="AK266" t="str">
        <f t="shared" si="8"/>
        <v>Young</v>
      </c>
      <c r="AL266" t="str">
        <f t="shared" si="9"/>
        <v>Medium Income</v>
      </c>
    </row>
    <row r="267" spans="1:38"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IF(Table1[[#This Row],[Attrition]]="Yes",1,0)</f>
        <v>0</v>
      </c>
      <c r="AK267" t="str">
        <f t="shared" si="8"/>
        <v>Young</v>
      </c>
      <c r="AL267" t="str">
        <f t="shared" si="9"/>
        <v>Medium Income</v>
      </c>
    </row>
    <row r="268" spans="1:38"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IF(Table1[[#This Row],[Attrition]]="Yes",1,0)</f>
        <v>0</v>
      </c>
      <c r="AK268" t="str">
        <f t="shared" si="8"/>
        <v>Mid Career</v>
      </c>
      <c r="AL268" t="str">
        <f t="shared" si="9"/>
        <v>Medium Income</v>
      </c>
    </row>
    <row r="269" spans="1:38"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IF(Table1[[#This Row],[Attrition]]="Yes",1,0)</f>
        <v>0</v>
      </c>
      <c r="AK269" t="str">
        <f t="shared" si="8"/>
        <v>Young</v>
      </c>
      <c r="AL269" t="str">
        <f t="shared" si="9"/>
        <v>Medium Income</v>
      </c>
    </row>
    <row r="270" spans="1:38"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IF(Table1[[#This Row],[Attrition]]="Yes",1,0)</f>
        <v>0</v>
      </c>
      <c r="AK270" t="str">
        <f t="shared" si="8"/>
        <v>Experienced</v>
      </c>
      <c r="AL270" t="str">
        <f t="shared" si="9"/>
        <v>High Income</v>
      </c>
    </row>
    <row r="271" spans="1:38"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IF(Table1[[#This Row],[Attrition]]="Yes",1,0)</f>
        <v>0</v>
      </c>
      <c r="AK271" t="str">
        <f t="shared" si="8"/>
        <v>Mid Career</v>
      </c>
      <c r="AL271" t="str">
        <f t="shared" si="9"/>
        <v>Medium Income</v>
      </c>
    </row>
    <row r="272" spans="1:38"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IF(Table1[[#This Row],[Attrition]]="Yes",1,0)</f>
        <v>0</v>
      </c>
      <c r="AK272" t="str">
        <f t="shared" si="8"/>
        <v>Senior</v>
      </c>
      <c r="AL272" t="str">
        <f t="shared" si="9"/>
        <v>High Income</v>
      </c>
    </row>
    <row r="273" spans="1:38"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IF(Table1[[#This Row],[Attrition]]="Yes",1,0)</f>
        <v>1</v>
      </c>
      <c r="AK273" t="str">
        <f t="shared" si="8"/>
        <v>Experienced</v>
      </c>
      <c r="AL273" t="str">
        <f t="shared" si="9"/>
        <v>High Income</v>
      </c>
    </row>
    <row r="274" spans="1:38"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IF(Table1[[#This Row],[Attrition]]="Yes",1,0)</f>
        <v>0</v>
      </c>
      <c r="AK274" t="str">
        <f t="shared" si="8"/>
        <v>Young</v>
      </c>
      <c r="AL274" t="str">
        <f t="shared" si="9"/>
        <v>Low Income</v>
      </c>
    </row>
    <row r="275" spans="1:38"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IF(Table1[[#This Row],[Attrition]]="Yes",1,0)</f>
        <v>0</v>
      </c>
      <c r="AK275" t="str">
        <f t="shared" si="8"/>
        <v>Mid Career</v>
      </c>
      <c r="AL275" t="str">
        <f t="shared" si="9"/>
        <v>Medium Income</v>
      </c>
    </row>
    <row r="276" spans="1:38"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IF(Table1[[#This Row],[Attrition]]="Yes",1,0)</f>
        <v>0</v>
      </c>
      <c r="AK276" t="str">
        <f t="shared" si="8"/>
        <v>Young</v>
      </c>
      <c r="AL276" t="str">
        <f t="shared" si="9"/>
        <v>Medium Income</v>
      </c>
    </row>
    <row r="277" spans="1:38"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IF(Table1[[#This Row],[Attrition]]="Yes",1,0)</f>
        <v>0</v>
      </c>
      <c r="AK277" t="str">
        <f t="shared" si="8"/>
        <v>Mid Career</v>
      </c>
      <c r="AL277" t="str">
        <f t="shared" si="9"/>
        <v>High Income</v>
      </c>
    </row>
    <row r="278" spans="1:38"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IF(Table1[[#This Row],[Attrition]]="Yes",1,0)</f>
        <v>0</v>
      </c>
      <c r="AK278" t="str">
        <f t="shared" si="8"/>
        <v>Mid Career</v>
      </c>
      <c r="AL278" t="str">
        <f t="shared" si="9"/>
        <v>High Income</v>
      </c>
    </row>
    <row r="279" spans="1:38"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IF(Table1[[#This Row],[Attrition]]="Yes",1,0)</f>
        <v>0</v>
      </c>
      <c r="AK279" t="str">
        <f t="shared" si="8"/>
        <v>Mid Career</v>
      </c>
      <c r="AL279" t="str">
        <f t="shared" si="9"/>
        <v>Medium Income</v>
      </c>
    </row>
    <row r="280" spans="1:38"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IF(Table1[[#This Row],[Attrition]]="Yes",1,0)</f>
        <v>0</v>
      </c>
      <c r="AK280" t="str">
        <f t="shared" si="8"/>
        <v>Young</v>
      </c>
      <c r="AL280" t="str">
        <f t="shared" si="9"/>
        <v>Medium Income</v>
      </c>
    </row>
    <row r="281" spans="1:38"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IF(Table1[[#This Row],[Attrition]]="Yes",1,0)</f>
        <v>0</v>
      </c>
      <c r="AK281" t="str">
        <f t="shared" si="8"/>
        <v>Senior</v>
      </c>
      <c r="AL281" t="str">
        <f t="shared" si="9"/>
        <v>High Income</v>
      </c>
    </row>
    <row r="282" spans="1:38"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IF(Table1[[#This Row],[Attrition]]="Yes",1,0)</f>
        <v>0</v>
      </c>
      <c r="AK282" t="str">
        <f t="shared" si="8"/>
        <v>Senior</v>
      </c>
      <c r="AL282" t="str">
        <f t="shared" si="9"/>
        <v>High Income</v>
      </c>
    </row>
    <row r="283" spans="1:38"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IF(Table1[[#This Row],[Attrition]]="Yes",1,0)</f>
        <v>0</v>
      </c>
      <c r="AK283" t="str">
        <f t="shared" si="8"/>
        <v>Experienced</v>
      </c>
      <c r="AL283" t="str">
        <f t="shared" si="9"/>
        <v>Medium Income</v>
      </c>
    </row>
    <row r="284" spans="1:38"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IF(Table1[[#This Row],[Attrition]]="Yes",1,0)</f>
        <v>0</v>
      </c>
      <c r="AK284" t="str">
        <f t="shared" si="8"/>
        <v>Young</v>
      </c>
      <c r="AL284" t="str">
        <f t="shared" si="9"/>
        <v>Medium Income</v>
      </c>
    </row>
    <row r="285" spans="1:38"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IF(Table1[[#This Row],[Attrition]]="Yes",1,0)</f>
        <v>0</v>
      </c>
      <c r="AK285" t="str">
        <f t="shared" si="8"/>
        <v>Senior</v>
      </c>
      <c r="AL285" t="str">
        <f t="shared" si="9"/>
        <v>Medium Income</v>
      </c>
    </row>
    <row r="286" spans="1:38"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IF(Table1[[#This Row],[Attrition]]="Yes",1,0)</f>
        <v>0</v>
      </c>
      <c r="AK286" t="str">
        <f t="shared" si="8"/>
        <v>Young</v>
      </c>
      <c r="AL286" t="str">
        <f t="shared" si="9"/>
        <v>Medium Income</v>
      </c>
    </row>
    <row r="287" spans="1:38"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IF(Table1[[#This Row],[Attrition]]="Yes",1,0)</f>
        <v>0</v>
      </c>
      <c r="AK287" t="str">
        <f t="shared" si="8"/>
        <v>Mid Career</v>
      </c>
      <c r="AL287" t="str">
        <f t="shared" si="9"/>
        <v>Low Income</v>
      </c>
    </row>
    <row r="288" spans="1:38"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IF(Table1[[#This Row],[Attrition]]="Yes",1,0)</f>
        <v>1</v>
      </c>
      <c r="AK288" t="str">
        <f t="shared" si="8"/>
        <v>Experienced</v>
      </c>
      <c r="AL288" t="str">
        <f t="shared" si="9"/>
        <v>Medium Income</v>
      </c>
    </row>
    <row r="289" spans="1:38"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IF(Table1[[#This Row],[Attrition]]="Yes",1,0)</f>
        <v>0</v>
      </c>
      <c r="AK289" t="str">
        <f t="shared" si="8"/>
        <v>Mid Career</v>
      </c>
      <c r="AL289" t="str">
        <f t="shared" si="9"/>
        <v>Medium Income</v>
      </c>
    </row>
    <row r="290" spans="1:38"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IF(Table1[[#This Row],[Attrition]]="Yes",1,0)</f>
        <v>1</v>
      </c>
      <c r="AK290" t="str">
        <f t="shared" si="8"/>
        <v>Young</v>
      </c>
      <c r="AL290" t="str">
        <f t="shared" si="9"/>
        <v>Low Income</v>
      </c>
    </row>
    <row r="291" spans="1:38"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IF(Table1[[#This Row],[Attrition]]="Yes",1,0)</f>
        <v>0</v>
      </c>
      <c r="AK291" t="str">
        <f t="shared" si="8"/>
        <v>Young</v>
      </c>
      <c r="AL291" t="str">
        <f t="shared" si="9"/>
        <v>Medium Income</v>
      </c>
    </row>
    <row r="292" spans="1:38"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IF(Table1[[#This Row],[Attrition]]="Yes",1,0)</f>
        <v>0</v>
      </c>
      <c r="AK292" t="str">
        <f t="shared" si="8"/>
        <v>Experienced</v>
      </c>
      <c r="AL292" t="str">
        <f t="shared" si="9"/>
        <v>High Income</v>
      </c>
    </row>
    <row r="293" spans="1:38"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IF(Table1[[#This Row],[Attrition]]="Yes",1,0)</f>
        <v>0</v>
      </c>
      <c r="AK293" t="str">
        <f t="shared" si="8"/>
        <v>Mid Career</v>
      </c>
      <c r="AL293" t="str">
        <f t="shared" si="9"/>
        <v>Medium Income</v>
      </c>
    </row>
    <row r="294" spans="1:38"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IF(Table1[[#This Row],[Attrition]]="Yes",1,0)</f>
        <v>0</v>
      </c>
      <c r="AK294" t="str">
        <f t="shared" si="8"/>
        <v>Mid Career</v>
      </c>
      <c r="AL294" t="str">
        <f t="shared" si="9"/>
        <v>Low Income</v>
      </c>
    </row>
    <row r="295" spans="1:38"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IF(Table1[[#This Row],[Attrition]]="Yes",1,0)</f>
        <v>1</v>
      </c>
      <c r="AK295" t="str">
        <f t="shared" si="8"/>
        <v>Young</v>
      </c>
      <c r="AL295" t="str">
        <f t="shared" si="9"/>
        <v>Medium Income</v>
      </c>
    </row>
    <row r="296" spans="1:38"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IF(Table1[[#This Row],[Attrition]]="Yes",1,0)</f>
        <v>0</v>
      </c>
      <c r="AK296" t="str">
        <f t="shared" si="8"/>
        <v>Mid Career</v>
      </c>
      <c r="AL296" t="str">
        <f t="shared" si="9"/>
        <v>Low Income</v>
      </c>
    </row>
    <row r="297" spans="1:38"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IF(Table1[[#This Row],[Attrition]]="Yes",1,0)</f>
        <v>0</v>
      </c>
      <c r="AK297" t="str">
        <f t="shared" si="8"/>
        <v>Experienced</v>
      </c>
      <c r="AL297" t="str">
        <f t="shared" si="9"/>
        <v>High Income</v>
      </c>
    </row>
    <row r="298" spans="1:38"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IF(Table1[[#This Row],[Attrition]]="Yes",1,0)</f>
        <v>1</v>
      </c>
      <c r="AK298" t="str">
        <f t="shared" si="8"/>
        <v>Young</v>
      </c>
      <c r="AL298" t="str">
        <f t="shared" si="9"/>
        <v>Low Income</v>
      </c>
    </row>
    <row r="299" spans="1:38"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IF(Table1[[#This Row],[Attrition]]="Yes",1,0)</f>
        <v>0</v>
      </c>
      <c r="AK299" t="str">
        <f t="shared" si="8"/>
        <v>Mid Career</v>
      </c>
      <c r="AL299" t="str">
        <f t="shared" si="9"/>
        <v>High Income</v>
      </c>
    </row>
    <row r="300" spans="1:38"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IF(Table1[[#This Row],[Attrition]]="Yes",1,0)</f>
        <v>0</v>
      </c>
      <c r="AK300" t="str">
        <f t="shared" si="8"/>
        <v>Mid Career</v>
      </c>
      <c r="AL300" t="str">
        <f t="shared" si="9"/>
        <v>Medium Income</v>
      </c>
    </row>
    <row r="301" spans="1:38"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IF(Table1[[#This Row],[Attrition]]="Yes",1,0)</f>
        <v>0</v>
      </c>
      <c r="AK301" t="str">
        <f t="shared" si="8"/>
        <v>Senior</v>
      </c>
      <c r="AL301" t="str">
        <f t="shared" si="9"/>
        <v>Medium Income</v>
      </c>
    </row>
    <row r="302" spans="1:38"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IF(Table1[[#This Row],[Attrition]]="Yes",1,0)</f>
        <v>0</v>
      </c>
      <c r="AK302" t="str">
        <f t="shared" si="8"/>
        <v>Experienced</v>
      </c>
      <c r="AL302" t="str">
        <f t="shared" si="9"/>
        <v>High Income</v>
      </c>
    </row>
    <row r="303" spans="1:38"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IF(Table1[[#This Row],[Attrition]]="Yes",1,0)</f>
        <v>0</v>
      </c>
      <c r="AK303" t="str">
        <f t="shared" si="8"/>
        <v>Young</v>
      </c>
      <c r="AL303" t="str">
        <f t="shared" si="9"/>
        <v>Low Income</v>
      </c>
    </row>
    <row r="304" spans="1:38"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IF(Table1[[#This Row],[Attrition]]="Yes",1,0)</f>
        <v>0</v>
      </c>
      <c r="AK304" t="str">
        <f t="shared" si="8"/>
        <v>Young</v>
      </c>
      <c r="AL304" t="str">
        <f t="shared" si="9"/>
        <v>Medium Income</v>
      </c>
    </row>
    <row r="305" spans="1:38"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IF(Table1[[#This Row],[Attrition]]="Yes",1,0)</f>
        <v>0</v>
      </c>
      <c r="AK305" t="str">
        <f t="shared" si="8"/>
        <v>Mid Career</v>
      </c>
      <c r="AL305" t="str">
        <f t="shared" si="9"/>
        <v>Medium Income</v>
      </c>
    </row>
    <row r="306" spans="1:38"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IF(Table1[[#This Row],[Attrition]]="Yes",1,0)</f>
        <v>0</v>
      </c>
      <c r="AK306" t="str">
        <f t="shared" si="8"/>
        <v>Mid Career</v>
      </c>
      <c r="AL306" t="str">
        <f t="shared" si="9"/>
        <v>High Income</v>
      </c>
    </row>
    <row r="307" spans="1:38"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IF(Table1[[#This Row],[Attrition]]="Yes",1,0)</f>
        <v>0</v>
      </c>
      <c r="AK307" t="str">
        <f t="shared" si="8"/>
        <v>Mid Career</v>
      </c>
      <c r="AL307" t="str">
        <f t="shared" si="9"/>
        <v>Medium Income</v>
      </c>
    </row>
    <row r="308" spans="1:38"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IF(Table1[[#This Row],[Attrition]]="Yes",1,0)</f>
        <v>0</v>
      </c>
      <c r="AK308" t="str">
        <f t="shared" si="8"/>
        <v>Mid Career</v>
      </c>
      <c r="AL308" t="str">
        <f t="shared" si="9"/>
        <v>Medium Income</v>
      </c>
    </row>
    <row r="309" spans="1:38"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IF(Table1[[#This Row],[Attrition]]="Yes",1,0)</f>
        <v>0</v>
      </c>
      <c r="AK309" t="str">
        <f t="shared" si="8"/>
        <v>Mid Career</v>
      </c>
      <c r="AL309" t="str">
        <f t="shared" si="9"/>
        <v>High Income</v>
      </c>
    </row>
    <row r="310" spans="1:38"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IF(Table1[[#This Row],[Attrition]]="Yes",1,0)</f>
        <v>0</v>
      </c>
      <c r="AK310" t="str">
        <f t="shared" si="8"/>
        <v>Senior</v>
      </c>
      <c r="AL310" t="str">
        <f t="shared" si="9"/>
        <v>Medium Income</v>
      </c>
    </row>
    <row r="311" spans="1:38"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IF(Table1[[#This Row],[Attrition]]="Yes",1,0)</f>
        <v>0</v>
      </c>
      <c r="AK311" t="str">
        <f t="shared" si="8"/>
        <v>Mid Career</v>
      </c>
      <c r="AL311" t="str">
        <f t="shared" si="9"/>
        <v>Medium Income</v>
      </c>
    </row>
    <row r="312" spans="1:38"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IF(Table1[[#This Row],[Attrition]]="Yes",1,0)</f>
        <v>0</v>
      </c>
      <c r="AK312" t="str">
        <f t="shared" si="8"/>
        <v>Mid Career</v>
      </c>
      <c r="AL312" t="str">
        <f t="shared" si="9"/>
        <v>Medium Income</v>
      </c>
    </row>
    <row r="313" spans="1:38"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IF(Table1[[#This Row],[Attrition]]="Yes",1,0)</f>
        <v>0</v>
      </c>
      <c r="AK313" t="str">
        <f t="shared" si="8"/>
        <v>Experienced</v>
      </c>
      <c r="AL313" t="str">
        <f t="shared" si="9"/>
        <v>Medium Income</v>
      </c>
    </row>
    <row r="314" spans="1:38"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IF(Table1[[#This Row],[Attrition]]="Yes",1,0)</f>
        <v>0</v>
      </c>
      <c r="AK314" t="str">
        <f t="shared" si="8"/>
        <v>Mid Career</v>
      </c>
      <c r="AL314" t="str">
        <f t="shared" si="9"/>
        <v>Low Income</v>
      </c>
    </row>
    <row r="315" spans="1:38"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IF(Table1[[#This Row],[Attrition]]="Yes",1,0)</f>
        <v>0</v>
      </c>
      <c r="AK315" t="str">
        <f t="shared" si="8"/>
        <v>Mid Career</v>
      </c>
      <c r="AL315" t="str">
        <f t="shared" si="9"/>
        <v>High Income</v>
      </c>
    </row>
    <row r="316" spans="1:38"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IF(Table1[[#This Row],[Attrition]]="Yes",1,0)</f>
        <v>0</v>
      </c>
      <c r="AK316" t="str">
        <f t="shared" si="8"/>
        <v>Mid Career</v>
      </c>
      <c r="AL316" t="str">
        <f t="shared" si="9"/>
        <v>High Income</v>
      </c>
    </row>
    <row r="317" spans="1:38"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IF(Table1[[#This Row],[Attrition]]="Yes",1,0)</f>
        <v>0</v>
      </c>
      <c r="AK317" t="str">
        <f t="shared" si="8"/>
        <v>Experienced</v>
      </c>
      <c r="AL317" t="str">
        <f t="shared" si="9"/>
        <v>Low Income</v>
      </c>
    </row>
    <row r="318" spans="1:38"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IF(Table1[[#This Row],[Attrition]]="Yes",1,0)</f>
        <v>0</v>
      </c>
      <c r="AK318" t="str">
        <f t="shared" si="8"/>
        <v>Experienced</v>
      </c>
      <c r="AL318" t="str">
        <f t="shared" si="9"/>
        <v>High Income</v>
      </c>
    </row>
    <row r="319" spans="1:38"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IF(Table1[[#This Row],[Attrition]]="Yes",1,0)</f>
        <v>1</v>
      </c>
      <c r="AK319" t="str">
        <f t="shared" si="8"/>
        <v>Senior</v>
      </c>
      <c r="AL319" t="str">
        <f t="shared" si="9"/>
        <v>Medium Income</v>
      </c>
    </row>
    <row r="320" spans="1:38"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IF(Table1[[#This Row],[Attrition]]="Yes",1,0)</f>
        <v>0</v>
      </c>
      <c r="AK320" t="str">
        <f t="shared" si="8"/>
        <v>Young</v>
      </c>
      <c r="AL320" t="str">
        <f t="shared" si="9"/>
        <v>Low Income</v>
      </c>
    </row>
    <row r="321" spans="1:38"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IF(Table1[[#This Row],[Attrition]]="Yes",1,0)</f>
        <v>0</v>
      </c>
      <c r="AK321" t="str">
        <f t="shared" si="8"/>
        <v>Mid Career</v>
      </c>
      <c r="AL321" t="str">
        <f t="shared" si="9"/>
        <v>Medium Income</v>
      </c>
    </row>
    <row r="322" spans="1:38"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IF(Table1[[#This Row],[Attrition]]="Yes",1,0)</f>
        <v>0</v>
      </c>
      <c r="AK322" t="str">
        <f t="shared" ref="AK322:AK385" si="10">IF(A322&lt;30,"Young",
IF(A322&lt;40,"Mid Career",
IF(A322&lt;50,"Experienced","Senior")))</f>
        <v>Young</v>
      </c>
      <c r="AL322" t="str">
        <f t="shared" ref="AL322:AL385" si="11">IF(S322&lt;3000,"Low Income",IF(S322&lt;7000,"Medium Income","High Income"))</f>
        <v>Medium Income</v>
      </c>
    </row>
    <row r="323" spans="1:38"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IF(Table1[[#This Row],[Attrition]]="Yes",1,0)</f>
        <v>0</v>
      </c>
      <c r="AK323" t="str">
        <f t="shared" si="10"/>
        <v>Mid Career</v>
      </c>
      <c r="AL323" t="str">
        <f t="shared" si="11"/>
        <v>High Income</v>
      </c>
    </row>
    <row r="324" spans="1:38"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IF(Table1[[#This Row],[Attrition]]="Yes",1,0)</f>
        <v>0</v>
      </c>
      <c r="AK324" t="str">
        <f t="shared" si="10"/>
        <v>Mid Career</v>
      </c>
      <c r="AL324" t="str">
        <f t="shared" si="11"/>
        <v>Medium Income</v>
      </c>
    </row>
    <row r="325" spans="1:38"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IF(Table1[[#This Row],[Attrition]]="Yes",1,0)</f>
        <v>1</v>
      </c>
      <c r="AK325" t="str">
        <f t="shared" si="10"/>
        <v>Young</v>
      </c>
      <c r="AL325" t="str">
        <f t="shared" si="11"/>
        <v>Medium Income</v>
      </c>
    </row>
    <row r="326" spans="1:38"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IF(Table1[[#This Row],[Attrition]]="Yes",1,0)</f>
        <v>0</v>
      </c>
      <c r="AK326" t="str">
        <f t="shared" si="10"/>
        <v>Mid Career</v>
      </c>
      <c r="AL326" t="str">
        <f t="shared" si="11"/>
        <v>Medium Income</v>
      </c>
    </row>
    <row r="327" spans="1:38"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IF(Table1[[#This Row],[Attrition]]="Yes",1,0)</f>
        <v>0</v>
      </c>
      <c r="AK327" t="str">
        <f t="shared" si="10"/>
        <v>Mid Career</v>
      </c>
      <c r="AL327" t="str">
        <f t="shared" si="11"/>
        <v>High Income</v>
      </c>
    </row>
    <row r="328" spans="1:38"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IF(Table1[[#This Row],[Attrition]]="Yes",1,0)</f>
        <v>0</v>
      </c>
      <c r="AK328" t="str">
        <f t="shared" si="10"/>
        <v>Mid Career</v>
      </c>
      <c r="AL328" t="str">
        <f t="shared" si="11"/>
        <v>High Income</v>
      </c>
    </row>
    <row r="329" spans="1:38"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IF(Table1[[#This Row],[Attrition]]="Yes",1,0)</f>
        <v>1</v>
      </c>
      <c r="AK329" t="str">
        <f t="shared" si="10"/>
        <v>Mid Career</v>
      </c>
      <c r="AL329" t="str">
        <f t="shared" si="11"/>
        <v>Medium Income</v>
      </c>
    </row>
    <row r="330" spans="1:38"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IF(Table1[[#This Row],[Attrition]]="Yes",1,0)</f>
        <v>0</v>
      </c>
      <c r="AK330" t="str">
        <f t="shared" si="10"/>
        <v>Mid Career</v>
      </c>
      <c r="AL330" t="str">
        <f t="shared" si="11"/>
        <v>Medium Income</v>
      </c>
    </row>
    <row r="331" spans="1:38"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IF(Table1[[#This Row],[Attrition]]="Yes",1,0)</f>
        <v>0</v>
      </c>
      <c r="AK331" t="str">
        <f t="shared" si="10"/>
        <v>Experienced</v>
      </c>
      <c r="AL331" t="str">
        <f t="shared" si="11"/>
        <v>High Income</v>
      </c>
    </row>
    <row r="332" spans="1:38"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IF(Table1[[#This Row],[Attrition]]="Yes",1,0)</f>
        <v>0</v>
      </c>
      <c r="AK332" t="str">
        <f t="shared" si="10"/>
        <v>Experienced</v>
      </c>
      <c r="AL332" t="str">
        <f t="shared" si="11"/>
        <v>Medium Income</v>
      </c>
    </row>
    <row r="333" spans="1:38"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IF(Table1[[#This Row],[Attrition]]="Yes",1,0)</f>
        <v>0</v>
      </c>
      <c r="AK333" t="str">
        <f t="shared" si="10"/>
        <v>Young</v>
      </c>
      <c r="AL333" t="str">
        <f t="shared" si="11"/>
        <v>Medium Income</v>
      </c>
    </row>
    <row r="334" spans="1:38"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IF(Table1[[#This Row],[Attrition]]="Yes",1,0)</f>
        <v>0</v>
      </c>
      <c r="AK334" t="str">
        <f t="shared" si="10"/>
        <v>Senior</v>
      </c>
      <c r="AL334" t="str">
        <f t="shared" si="11"/>
        <v>Medium Income</v>
      </c>
    </row>
    <row r="335" spans="1:38"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IF(Table1[[#This Row],[Attrition]]="Yes",1,0)</f>
        <v>0</v>
      </c>
      <c r="AK335" t="str">
        <f t="shared" si="10"/>
        <v>Experienced</v>
      </c>
      <c r="AL335" t="str">
        <f t="shared" si="11"/>
        <v>High Income</v>
      </c>
    </row>
    <row r="336" spans="1:38"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IF(Table1[[#This Row],[Attrition]]="Yes",1,0)</f>
        <v>0</v>
      </c>
      <c r="AK336" t="str">
        <f t="shared" si="10"/>
        <v>Experienced</v>
      </c>
      <c r="AL336" t="str">
        <f t="shared" si="11"/>
        <v>Medium Income</v>
      </c>
    </row>
    <row r="337" spans="1:38"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IF(Table1[[#This Row],[Attrition]]="Yes",1,0)</f>
        <v>0</v>
      </c>
      <c r="AK337" t="str">
        <f t="shared" si="10"/>
        <v>Experienced</v>
      </c>
      <c r="AL337" t="str">
        <f t="shared" si="11"/>
        <v>High Income</v>
      </c>
    </row>
    <row r="338" spans="1:38"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IF(Table1[[#This Row],[Attrition]]="Yes",1,0)</f>
        <v>1</v>
      </c>
      <c r="AK338" t="str">
        <f t="shared" si="10"/>
        <v>Young</v>
      </c>
      <c r="AL338" t="str">
        <f t="shared" si="11"/>
        <v>Low Income</v>
      </c>
    </row>
    <row r="339" spans="1:38"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IF(Table1[[#This Row],[Attrition]]="Yes",1,0)</f>
        <v>0</v>
      </c>
      <c r="AK339" t="str">
        <f t="shared" si="10"/>
        <v>Young</v>
      </c>
      <c r="AL339" t="str">
        <f t="shared" si="11"/>
        <v>Medium Income</v>
      </c>
    </row>
    <row r="340" spans="1:38"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IF(Table1[[#This Row],[Attrition]]="Yes",1,0)</f>
        <v>0</v>
      </c>
      <c r="AK340" t="str">
        <f t="shared" si="10"/>
        <v>Mid Career</v>
      </c>
      <c r="AL340" t="str">
        <f t="shared" si="11"/>
        <v>Medium Income</v>
      </c>
    </row>
    <row r="341" spans="1:38"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IF(Table1[[#This Row],[Attrition]]="Yes",1,0)</f>
        <v>0</v>
      </c>
      <c r="AK341" t="str">
        <f t="shared" si="10"/>
        <v>Young</v>
      </c>
      <c r="AL341" t="str">
        <f t="shared" si="11"/>
        <v>Medium Income</v>
      </c>
    </row>
    <row r="342" spans="1:38"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IF(Table1[[#This Row],[Attrition]]="Yes",1,0)</f>
        <v>0</v>
      </c>
      <c r="AK342" t="str">
        <f t="shared" si="10"/>
        <v>Mid Career</v>
      </c>
      <c r="AL342" t="str">
        <f t="shared" si="11"/>
        <v>Medium Income</v>
      </c>
    </row>
    <row r="343" spans="1:38"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IF(Table1[[#This Row],[Attrition]]="Yes",1,0)</f>
        <v>0</v>
      </c>
      <c r="AK343" t="str">
        <f t="shared" si="10"/>
        <v>Mid Career</v>
      </c>
      <c r="AL343" t="str">
        <f t="shared" si="11"/>
        <v>High Income</v>
      </c>
    </row>
    <row r="344" spans="1:38"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IF(Table1[[#This Row],[Attrition]]="Yes",1,0)</f>
        <v>0</v>
      </c>
      <c r="AK344" t="str">
        <f t="shared" si="10"/>
        <v>Mid Career</v>
      </c>
      <c r="AL344" t="str">
        <f t="shared" si="11"/>
        <v>High Income</v>
      </c>
    </row>
    <row r="345" spans="1:38"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IF(Table1[[#This Row],[Attrition]]="Yes",1,0)</f>
        <v>0</v>
      </c>
      <c r="AK345" t="str">
        <f t="shared" si="10"/>
        <v>Young</v>
      </c>
      <c r="AL345" t="str">
        <f t="shared" si="11"/>
        <v>High Income</v>
      </c>
    </row>
    <row r="346" spans="1:38"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IF(Table1[[#This Row],[Attrition]]="Yes",1,0)</f>
        <v>0</v>
      </c>
      <c r="AK346" t="str">
        <f t="shared" si="10"/>
        <v>Mid Career</v>
      </c>
      <c r="AL346" t="str">
        <f t="shared" si="11"/>
        <v>High Income</v>
      </c>
    </row>
    <row r="347" spans="1:38"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IF(Table1[[#This Row],[Attrition]]="Yes",1,0)</f>
        <v>0</v>
      </c>
      <c r="AK347" t="str">
        <f t="shared" si="10"/>
        <v>Young</v>
      </c>
      <c r="AL347" t="str">
        <f t="shared" si="11"/>
        <v>Low Income</v>
      </c>
    </row>
    <row r="348" spans="1:38"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IF(Table1[[#This Row],[Attrition]]="Yes",1,0)</f>
        <v>0</v>
      </c>
      <c r="AK348" t="str">
        <f t="shared" si="10"/>
        <v>Experienced</v>
      </c>
      <c r="AL348" t="str">
        <f t="shared" si="11"/>
        <v>Medium Income</v>
      </c>
    </row>
    <row r="349" spans="1:38"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IF(Table1[[#This Row],[Attrition]]="Yes",1,0)</f>
        <v>0</v>
      </c>
      <c r="AK349" t="str">
        <f t="shared" si="10"/>
        <v>Experienced</v>
      </c>
      <c r="AL349" t="str">
        <f t="shared" si="11"/>
        <v>Low Income</v>
      </c>
    </row>
    <row r="350" spans="1:38"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IF(Table1[[#This Row],[Attrition]]="Yes",1,0)</f>
        <v>0</v>
      </c>
      <c r="AK350" t="str">
        <f t="shared" si="10"/>
        <v>Experienced</v>
      </c>
      <c r="AL350" t="str">
        <f t="shared" si="11"/>
        <v>High Income</v>
      </c>
    </row>
    <row r="351" spans="1:38"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IF(Table1[[#This Row],[Attrition]]="Yes",1,0)</f>
        <v>0</v>
      </c>
      <c r="AK351" t="str">
        <f t="shared" si="10"/>
        <v>Young</v>
      </c>
      <c r="AL351" t="str">
        <f t="shared" si="11"/>
        <v>Medium Income</v>
      </c>
    </row>
    <row r="352" spans="1:38"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IF(Table1[[#This Row],[Attrition]]="Yes",1,0)</f>
        <v>0</v>
      </c>
      <c r="AK352" t="str">
        <f t="shared" si="10"/>
        <v>Experienced</v>
      </c>
      <c r="AL352" t="str">
        <f t="shared" si="11"/>
        <v>Low Income</v>
      </c>
    </row>
    <row r="353" spans="1:38"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IF(Table1[[#This Row],[Attrition]]="Yes",1,0)</f>
        <v>0</v>
      </c>
      <c r="AK353" t="str">
        <f t="shared" si="10"/>
        <v>Mid Career</v>
      </c>
      <c r="AL353" t="str">
        <f t="shared" si="11"/>
        <v>Low Income</v>
      </c>
    </row>
    <row r="354" spans="1:38"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IF(Table1[[#This Row],[Attrition]]="Yes",1,0)</f>
        <v>0</v>
      </c>
      <c r="AK354" t="str">
        <f t="shared" si="10"/>
        <v>Experienced</v>
      </c>
      <c r="AL354" t="str">
        <f t="shared" si="11"/>
        <v>High Income</v>
      </c>
    </row>
    <row r="355" spans="1:38"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IF(Table1[[#This Row],[Attrition]]="Yes",1,0)</f>
        <v>0</v>
      </c>
      <c r="AK355" t="str">
        <f t="shared" si="10"/>
        <v>Mid Career</v>
      </c>
      <c r="AL355" t="str">
        <f t="shared" si="11"/>
        <v>Medium Income</v>
      </c>
    </row>
    <row r="356" spans="1:38"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IF(Table1[[#This Row],[Attrition]]="Yes",1,0)</f>
        <v>0</v>
      </c>
      <c r="AK356" t="str">
        <f t="shared" si="10"/>
        <v>Mid Career</v>
      </c>
      <c r="AL356" t="str">
        <f t="shared" si="11"/>
        <v>Medium Income</v>
      </c>
    </row>
    <row r="357" spans="1:38"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IF(Table1[[#This Row],[Attrition]]="Yes",1,0)</f>
        <v>0</v>
      </c>
      <c r="AK357" t="str">
        <f t="shared" si="10"/>
        <v>Young</v>
      </c>
      <c r="AL357" t="str">
        <f t="shared" si="11"/>
        <v>Medium Income</v>
      </c>
    </row>
    <row r="358" spans="1:38"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IF(Table1[[#This Row],[Attrition]]="Yes",1,0)</f>
        <v>0</v>
      </c>
      <c r="AK358" t="str">
        <f t="shared" si="10"/>
        <v>Experienced</v>
      </c>
      <c r="AL358" t="str">
        <f t="shared" si="11"/>
        <v>Medium Income</v>
      </c>
    </row>
    <row r="359" spans="1:38"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IF(Table1[[#This Row],[Attrition]]="Yes",1,0)</f>
        <v>1</v>
      </c>
      <c r="AK359" t="str">
        <f t="shared" si="10"/>
        <v>Young</v>
      </c>
      <c r="AL359" t="str">
        <f t="shared" si="11"/>
        <v>Low Income</v>
      </c>
    </row>
    <row r="360" spans="1:38"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IF(Table1[[#This Row],[Attrition]]="Yes",1,0)</f>
        <v>0</v>
      </c>
      <c r="AK360" t="str">
        <f t="shared" si="10"/>
        <v>Mid Career</v>
      </c>
      <c r="AL360" t="str">
        <f t="shared" si="11"/>
        <v>Medium Income</v>
      </c>
    </row>
    <row r="361" spans="1:38"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IF(Table1[[#This Row],[Attrition]]="Yes",1,0)</f>
        <v>0</v>
      </c>
      <c r="AK361" t="str">
        <f t="shared" si="10"/>
        <v>Mid Career</v>
      </c>
      <c r="AL361" t="str">
        <f t="shared" si="11"/>
        <v>High Income</v>
      </c>
    </row>
    <row r="362" spans="1:38"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IF(Table1[[#This Row],[Attrition]]="Yes",1,0)</f>
        <v>0</v>
      </c>
      <c r="AK362" t="str">
        <f t="shared" si="10"/>
        <v>Senior</v>
      </c>
      <c r="AL362" t="str">
        <f t="shared" si="11"/>
        <v>Medium Income</v>
      </c>
    </row>
    <row r="363" spans="1:38"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IF(Table1[[#This Row],[Attrition]]="Yes",1,0)</f>
        <v>0</v>
      </c>
      <c r="AK363" t="str">
        <f t="shared" si="10"/>
        <v>Experienced</v>
      </c>
      <c r="AL363" t="str">
        <f t="shared" si="11"/>
        <v>Low Income</v>
      </c>
    </row>
    <row r="364" spans="1:38"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IF(Table1[[#This Row],[Attrition]]="Yes",1,0)</f>
        <v>0</v>
      </c>
      <c r="AK364" t="str">
        <f t="shared" si="10"/>
        <v>Young</v>
      </c>
      <c r="AL364" t="str">
        <f t="shared" si="11"/>
        <v>Low Income</v>
      </c>
    </row>
    <row r="365" spans="1:38"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IF(Table1[[#This Row],[Attrition]]="Yes",1,0)</f>
        <v>1</v>
      </c>
      <c r="AK365" t="str">
        <f t="shared" si="10"/>
        <v>Mid Career</v>
      </c>
      <c r="AL365" t="str">
        <f t="shared" si="11"/>
        <v>Low Income</v>
      </c>
    </row>
    <row r="366" spans="1:38"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IF(Table1[[#This Row],[Attrition]]="Yes",1,0)</f>
        <v>0</v>
      </c>
      <c r="AK366" t="str">
        <f t="shared" si="10"/>
        <v>Mid Career</v>
      </c>
      <c r="AL366" t="str">
        <f t="shared" si="11"/>
        <v>Medium Income</v>
      </c>
    </row>
    <row r="367" spans="1:38"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IF(Table1[[#This Row],[Attrition]]="Yes",1,0)</f>
        <v>0</v>
      </c>
      <c r="AK367" t="str">
        <f t="shared" si="10"/>
        <v>Experienced</v>
      </c>
      <c r="AL367" t="str">
        <f t="shared" si="11"/>
        <v>Medium Income</v>
      </c>
    </row>
    <row r="368" spans="1:38"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IF(Table1[[#This Row],[Attrition]]="Yes",1,0)</f>
        <v>1</v>
      </c>
      <c r="AK368" t="str">
        <f t="shared" si="10"/>
        <v>Experienced</v>
      </c>
      <c r="AL368" t="str">
        <f t="shared" si="11"/>
        <v>High Income</v>
      </c>
    </row>
    <row r="369" spans="1:38"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IF(Table1[[#This Row],[Attrition]]="Yes",1,0)</f>
        <v>0</v>
      </c>
      <c r="AK369" t="str">
        <f t="shared" si="10"/>
        <v>Senior</v>
      </c>
      <c r="AL369" t="str">
        <f t="shared" si="11"/>
        <v>High Income</v>
      </c>
    </row>
    <row r="370" spans="1:38"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IF(Table1[[#This Row],[Attrition]]="Yes",1,0)</f>
        <v>1</v>
      </c>
      <c r="AK370" t="str">
        <f t="shared" si="10"/>
        <v>Experienced</v>
      </c>
      <c r="AL370" t="str">
        <f t="shared" si="11"/>
        <v>Medium Income</v>
      </c>
    </row>
    <row r="371" spans="1:38"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IF(Table1[[#This Row],[Attrition]]="Yes",1,0)</f>
        <v>0</v>
      </c>
      <c r="AK371" t="str">
        <f t="shared" si="10"/>
        <v>Mid Career</v>
      </c>
      <c r="AL371" t="str">
        <f t="shared" si="11"/>
        <v>Low Income</v>
      </c>
    </row>
    <row r="372" spans="1:38"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IF(Table1[[#This Row],[Attrition]]="Yes",1,0)</f>
        <v>1</v>
      </c>
      <c r="AK372" t="str">
        <f t="shared" si="10"/>
        <v>Young</v>
      </c>
      <c r="AL372" t="str">
        <f t="shared" si="11"/>
        <v>Low Income</v>
      </c>
    </row>
    <row r="373" spans="1:38"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IF(Table1[[#This Row],[Attrition]]="Yes",1,0)</f>
        <v>0</v>
      </c>
      <c r="AK373" t="str">
        <f t="shared" si="10"/>
        <v>Young</v>
      </c>
      <c r="AL373" t="str">
        <f t="shared" si="11"/>
        <v>Low Income</v>
      </c>
    </row>
    <row r="374" spans="1:38"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IF(Table1[[#This Row],[Attrition]]="Yes",1,0)</f>
        <v>0</v>
      </c>
      <c r="AK374" t="str">
        <f t="shared" si="10"/>
        <v>Mid Career</v>
      </c>
      <c r="AL374" t="str">
        <f t="shared" si="11"/>
        <v>Medium Income</v>
      </c>
    </row>
    <row r="375" spans="1:38"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IF(Table1[[#This Row],[Attrition]]="Yes",1,0)</f>
        <v>0</v>
      </c>
      <c r="AK375" t="str">
        <f t="shared" si="10"/>
        <v>Young</v>
      </c>
      <c r="AL375" t="str">
        <f t="shared" si="11"/>
        <v>Medium Income</v>
      </c>
    </row>
    <row r="376" spans="1:38"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IF(Table1[[#This Row],[Attrition]]="Yes",1,0)</f>
        <v>0</v>
      </c>
      <c r="AK376" t="str">
        <f t="shared" si="10"/>
        <v>Young</v>
      </c>
      <c r="AL376" t="str">
        <f t="shared" si="11"/>
        <v>Medium Income</v>
      </c>
    </row>
    <row r="377" spans="1:38"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IF(Table1[[#This Row],[Attrition]]="Yes",1,0)</f>
        <v>0</v>
      </c>
      <c r="AK377" t="str">
        <f t="shared" si="10"/>
        <v>Experienced</v>
      </c>
      <c r="AL377" t="str">
        <f t="shared" si="11"/>
        <v>High Income</v>
      </c>
    </row>
    <row r="378" spans="1:38"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IF(Table1[[#This Row],[Attrition]]="Yes",1,0)</f>
        <v>0</v>
      </c>
      <c r="AK378" t="str">
        <f t="shared" si="10"/>
        <v>Senior</v>
      </c>
      <c r="AL378" t="str">
        <f t="shared" si="11"/>
        <v>Medium Income</v>
      </c>
    </row>
    <row r="379" spans="1:38"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IF(Table1[[#This Row],[Attrition]]="Yes",1,0)</f>
        <v>0</v>
      </c>
      <c r="AK379" t="str">
        <f t="shared" si="10"/>
        <v>Mid Career</v>
      </c>
      <c r="AL379" t="str">
        <f t="shared" si="11"/>
        <v>Low Income</v>
      </c>
    </row>
    <row r="380" spans="1:38"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IF(Table1[[#This Row],[Attrition]]="Yes",1,0)</f>
        <v>1</v>
      </c>
      <c r="AK380" t="str">
        <f t="shared" si="10"/>
        <v>Mid Career</v>
      </c>
      <c r="AL380" t="str">
        <f t="shared" si="11"/>
        <v>Medium Income</v>
      </c>
    </row>
    <row r="381" spans="1:38"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IF(Table1[[#This Row],[Attrition]]="Yes",1,0)</f>
        <v>0</v>
      </c>
      <c r="AK381" t="str">
        <f t="shared" si="10"/>
        <v>Senior</v>
      </c>
      <c r="AL381" t="str">
        <f t="shared" si="11"/>
        <v>High Income</v>
      </c>
    </row>
    <row r="382" spans="1:38"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IF(Table1[[#This Row],[Attrition]]="Yes",1,0)</f>
        <v>0</v>
      </c>
      <c r="AK382" t="str">
        <f t="shared" si="10"/>
        <v>Young</v>
      </c>
      <c r="AL382" t="str">
        <f t="shared" si="11"/>
        <v>Medium Income</v>
      </c>
    </row>
    <row r="383" spans="1:38"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IF(Table1[[#This Row],[Attrition]]="Yes",1,0)</f>
        <v>0</v>
      </c>
      <c r="AK383" t="str">
        <f t="shared" si="10"/>
        <v>Mid Career</v>
      </c>
      <c r="AL383" t="str">
        <f t="shared" si="11"/>
        <v>Low Income</v>
      </c>
    </row>
    <row r="384" spans="1:38"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IF(Table1[[#This Row],[Attrition]]="Yes",1,0)</f>
        <v>1</v>
      </c>
      <c r="AK384" t="str">
        <f t="shared" si="10"/>
        <v>Young</v>
      </c>
      <c r="AL384" t="str">
        <f t="shared" si="11"/>
        <v>Medium Income</v>
      </c>
    </row>
    <row r="385" spans="1:38"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IF(Table1[[#This Row],[Attrition]]="Yes",1,0)</f>
        <v>0</v>
      </c>
      <c r="AK385" t="str">
        <f t="shared" si="10"/>
        <v>Young</v>
      </c>
      <c r="AL385" t="str">
        <f t="shared" si="11"/>
        <v>Low Income</v>
      </c>
    </row>
    <row r="386" spans="1:38"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IF(Table1[[#This Row],[Attrition]]="Yes",1,0)</f>
        <v>0</v>
      </c>
      <c r="AK386" t="str">
        <f t="shared" ref="AK386:AK449" si="12">IF(A386&lt;30,"Young",
IF(A386&lt;40,"Mid Career",
IF(A386&lt;50,"Experienced","Senior")))</f>
        <v>Mid Career</v>
      </c>
      <c r="AL386" t="str">
        <f t="shared" ref="AL386:AL449" si="13">IF(S386&lt;3000,"Low Income",IF(S386&lt;7000,"Medium Income","High Income"))</f>
        <v>High Income</v>
      </c>
    </row>
    <row r="387" spans="1:38"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IF(Table1[[#This Row],[Attrition]]="Yes",1,0)</f>
        <v>1</v>
      </c>
      <c r="AK387" t="str">
        <f t="shared" si="12"/>
        <v>Mid Career</v>
      </c>
      <c r="AL387" t="str">
        <f t="shared" si="13"/>
        <v>Low Income</v>
      </c>
    </row>
    <row r="388" spans="1:38"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IF(Table1[[#This Row],[Attrition]]="Yes",1,0)</f>
        <v>0</v>
      </c>
      <c r="AK388" t="str">
        <f t="shared" si="12"/>
        <v>Mid Career</v>
      </c>
      <c r="AL388" t="str">
        <f t="shared" si="13"/>
        <v>Medium Income</v>
      </c>
    </row>
    <row r="389" spans="1:38"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IF(Table1[[#This Row],[Attrition]]="Yes",1,0)</f>
        <v>0</v>
      </c>
      <c r="AK389" t="str">
        <f t="shared" si="12"/>
        <v>Experienced</v>
      </c>
      <c r="AL389" t="str">
        <f t="shared" si="13"/>
        <v>Medium Income</v>
      </c>
    </row>
    <row r="390" spans="1:38"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IF(Table1[[#This Row],[Attrition]]="Yes",1,0)</f>
        <v>0</v>
      </c>
      <c r="AK390" t="str">
        <f t="shared" si="12"/>
        <v>Experienced</v>
      </c>
      <c r="AL390" t="str">
        <f t="shared" si="13"/>
        <v>Low Income</v>
      </c>
    </row>
    <row r="391" spans="1:38"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IF(Table1[[#This Row],[Attrition]]="Yes",1,0)</f>
        <v>0</v>
      </c>
      <c r="AK391" t="str">
        <f t="shared" si="12"/>
        <v>Mid Career</v>
      </c>
      <c r="AL391" t="str">
        <f t="shared" si="13"/>
        <v>Medium Income</v>
      </c>
    </row>
    <row r="392" spans="1:38"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IF(Table1[[#This Row],[Attrition]]="Yes",1,0)</f>
        <v>0</v>
      </c>
      <c r="AK392" t="str">
        <f t="shared" si="12"/>
        <v>Experienced</v>
      </c>
      <c r="AL392" t="str">
        <f t="shared" si="13"/>
        <v>High Income</v>
      </c>
    </row>
    <row r="393" spans="1:38"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IF(Table1[[#This Row],[Attrition]]="Yes",1,0)</f>
        <v>0</v>
      </c>
      <c r="AK393" t="str">
        <f t="shared" si="12"/>
        <v>Experienced</v>
      </c>
      <c r="AL393" t="str">
        <f t="shared" si="13"/>
        <v>Medium Income</v>
      </c>
    </row>
    <row r="394" spans="1:38"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IF(Table1[[#This Row],[Attrition]]="Yes",1,0)</f>
        <v>0</v>
      </c>
      <c r="AK394" t="str">
        <f t="shared" si="12"/>
        <v>Senior</v>
      </c>
      <c r="AL394" t="str">
        <f t="shared" si="13"/>
        <v>High Income</v>
      </c>
    </row>
    <row r="395" spans="1:38"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IF(Table1[[#This Row],[Attrition]]="Yes",1,0)</f>
        <v>0</v>
      </c>
      <c r="AK395" t="str">
        <f t="shared" si="12"/>
        <v>Mid Career</v>
      </c>
      <c r="AL395" t="str">
        <f t="shared" si="13"/>
        <v>Medium Income</v>
      </c>
    </row>
    <row r="396" spans="1:38"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IF(Table1[[#This Row],[Attrition]]="Yes",1,0)</f>
        <v>0</v>
      </c>
      <c r="AK396" t="str">
        <f t="shared" si="12"/>
        <v>Mid Career</v>
      </c>
      <c r="AL396" t="str">
        <f t="shared" si="13"/>
        <v>Medium Income</v>
      </c>
    </row>
    <row r="397" spans="1:38"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IF(Table1[[#This Row],[Attrition]]="Yes",1,0)</f>
        <v>0</v>
      </c>
      <c r="AK397" t="str">
        <f t="shared" si="12"/>
        <v>Experienced</v>
      </c>
      <c r="AL397" t="str">
        <f t="shared" si="13"/>
        <v>Low Income</v>
      </c>
    </row>
    <row r="398" spans="1:38"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IF(Table1[[#This Row],[Attrition]]="Yes",1,0)</f>
        <v>0</v>
      </c>
      <c r="AK398" t="str">
        <f t="shared" si="12"/>
        <v>Experienced</v>
      </c>
      <c r="AL398" t="str">
        <f t="shared" si="13"/>
        <v>Medium Income</v>
      </c>
    </row>
    <row r="399" spans="1:38"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IF(Table1[[#This Row],[Attrition]]="Yes",1,0)</f>
        <v>0</v>
      </c>
      <c r="AK399" t="str">
        <f t="shared" si="12"/>
        <v>Young</v>
      </c>
      <c r="AL399" t="str">
        <f t="shared" si="13"/>
        <v>Medium Income</v>
      </c>
    </row>
    <row r="400" spans="1:38"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IF(Table1[[#This Row],[Attrition]]="Yes",1,0)</f>
        <v>0</v>
      </c>
      <c r="AK400" t="str">
        <f t="shared" si="12"/>
        <v>Mid Career</v>
      </c>
      <c r="AL400" t="str">
        <f t="shared" si="13"/>
        <v>Medium Income</v>
      </c>
    </row>
    <row r="401" spans="1:38"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IF(Table1[[#This Row],[Attrition]]="Yes",1,0)</f>
        <v>0</v>
      </c>
      <c r="AK401" t="str">
        <f t="shared" si="12"/>
        <v>Mid Career</v>
      </c>
      <c r="AL401" t="str">
        <f t="shared" si="13"/>
        <v>Low Income</v>
      </c>
    </row>
    <row r="402" spans="1:38"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IF(Table1[[#This Row],[Attrition]]="Yes",1,0)</f>
        <v>0</v>
      </c>
      <c r="AK402" t="str">
        <f t="shared" si="12"/>
        <v>Mid Career</v>
      </c>
      <c r="AL402" t="str">
        <f t="shared" si="13"/>
        <v>High Income</v>
      </c>
    </row>
    <row r="403" spans="1:38"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IF(Table1[[#This Row],[Attrition]]="Yes",1,0)</f>
        <v>0</v>
      </c>
      <c r="AK403" t="str">
        <f t="shared" si="12"/>
        <v>Senior</v>
      </c>
      <c r="AL403" t="str">
        <f t="shared" si="13"/>
        <v>High Income</v>
      </c>
    </row>
    <row r="404" spans="1:38"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IF(Table1[[#This Row],[Attrition]]="Yes",1,0)</f>
        <v>0</v>
      </c>
      <c r="AK404" t="str">
        <f t="shared" si="12"/>
        <v>Mid Career</v>
      </c>
      <c r="AL404" t="str">
        <f t="shared" si="13"/>
        <v>Medium Income</v>
      </c>
    </row>
    <row r="405" spans="1:38"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IF(Table1[[#This Row],[Attrition]]="Yes",1,0)</f>
        <v>0</v>
      </c>
      <c r="AK405" t="str">
        <f t="shared" si="12"/>
        <v>Experienced</v>
      </c>
      <c r="AL405" t="str">
        <f t="shared" si="13"/>
        <v>High Income</v>
      </c>
    </row>
    <row r="406" spans="1:38"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IF(Table1[[#This Row],[Attrition]]="Yes",1,0)</f>
        <v>0</v>
      </c>
      <c r="AK406" t="str">
        <f t="shared" si="12"/>
        <v>Young</v>
      </c>
      <c r="AL406" t="str">
        <f t="shared" si="13"/>
        <v>Medium Income</v>
      </c>
    </row>
    <row r="407" spans="1:38"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IF(Table1[[#This Row],[Attrition]]="Yes",1,0)</f>
        <v>1</v>
      </c>
      <c r="AK407" t="str">
        <f t="shared" si="12"/>
        <v>Young</v>
      </c>
      <c r="AL407" t="str">
        <f t="shared" si="13"/>
        <v>Medium Income</v>
      </c>
    </row>
    <row r="408" spans="1:38"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IF(Table1[[#This Row],[Attrition]]="Yes",1,0)</f>
        <v>0</v>
      </c>
      <c r="AK408" t="str">
        <f t="shared" si="12"/>
        <v>Senior</v>
      </c>
      <c r="AL408" t="str">
        <f t="shared" si="13"/>
        <v>High Income</v>
      </c>
    </row>
    <row r="409" spans="1:38"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IF(Table1[[#This Row],[Attrition]]="Yes",1,0)</f>
        <v>0</v>
      </c>
      <c r="AK409" t="str">
        <f t="shared" si="12"/>
        <v>Experienced</v>
      </c>
      <c r="AL409" t="str">
        <f t="shared" si="13"/>
        <v>Low Income</v>
      </c>
    </row>
    <row r="410" spans="1:38"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IF(Table1[[#This Row],[Attrition]]="Yes",1,0)</f>
        <v>0</v>
      </c>
      <c r="AK410" t="str">
        <f t="shared" si="12"/>
        <v>Senior</v>
      </c>
      <c r="AL410" t="str">
        <f t="shared" si="13"/>
        <v>High Income</v>
      </c>
    </row>
    <row r="411" spans="1:38"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IF(Table1[[#This Row],[Attrition]]="Yes",1,0)</f>
        <v>0</v>
      </c>
      <c r="AK411" t="str">
        <f t="shared" si="12"/>
        <v>Experienced</v>
      </c>
      <c r="AL411" t="str">
        <f t="shared" si="13"/>
        <v>Medium Income</v>
      </c>
    </row>
    <row r="412" spans="1:38"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IF(Table1[[#This Row],[Attrition]]="Yes",1,0)</f>
        <v>0</v>
      </c>
      <c r="AK412" t="str">
        <f t="shared" si="12"/>
        <v>Mid Career</v>
      </c>
      <c r="AL412" t="str">
        <f t="shared" si="13"/>
        <v>Medium Income</v>
      </c>
    </row>
    <row r="413" spans="1:38"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IF(Table1[[#This Row],[Attrition]]="Yes",1,0)</f>
        <v>0</v>
      </c>
      <c r="AK413" t="str">
        <f t="shared" si="12"/>
        <v>Senior</v>
      </c>
      <c r="AL413" t="str">
        <f t="shared" si="13"/>
        <v>High Income</v>
      </c>
    </row>
    <row r="414" spans="1:38"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IF(Table1[[#This Row],[Attrition]]="Yes",1,0)</f>
        <v>0</v>
      </c>
      <c r="AK414" t="str">
        <f t="shared" si="12"/>
        <v>Experienced</v>
      </c>
      <c r="AL414" t="str">
        <f t="shared" si="13"/>
        <v>Medium Income</v>
      </c>
    </row>
    <row r="415" spans="1:38"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IF(Table1[[#This Row],[Attrition]]="Yes",1,0)</f>
        <v>0</v>
      </c>
      <c r="AK415" t="str">
        <f t="shared" si="12"/>
        <v>Experienced</v>
      </c>
      <c r="AL415" t="str">
        <f t="shared" si="13"/>
        <v>Medium Income</v>
      </c>
    </row>
    <row r="416" spans="1:38"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IF(Table1[[#This Row],[Attrition]]="Yes",1,0)</f>
        <v>1</v>
      </c>
      <c r="AK416" t="str">
        <f t="shared" si="12"/>
        <v>Young</v>
      </c>
      <c r="AL416" t="str">
        <f t="shared" si="13"/>
        <v>Medium Income</v>
      </c>
    </row>
    <row r="417" spans="1:38"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IF(Table1[[#This Row],[Attrition]]="Yes",1,0)</f>
        <v>1</v>
      </c>
      <c r="AK417" t="str">
        <f t="shared" si="12"/>
        <v>Mid Career</v>
      </c>
      <c r="AL417" t="str">
        <f t="shared" si="13"/>
        <v>Low Income</v>
      </c>
    </row>
    <row r="418" spans="1:38"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IF(Table1[[#This Row],[Attrition]]="Yes",1,0)</f>
        <v>0</v>
      </c>
      <c r="AK418" t="str">
        <f t="shared" si="12"/>
        <v>Mid Career</v>
      </c>
      <c r="AL418" t="str">
        <f t="shared" si="13"/>
        <v>Low Income</v>
      </c>
    </row>
    <row r="419" spans="1:38"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IF(Table1[[#This Row],[Attrition]]="Yes",1,0)</f>
        <v>0</v>
      </c>
      <c r="AK419" t="str">
        <f t="shared" si="12"/>
        <v>Experienced</v>
      </c>
      <c r="AL419" t="str">
        <f t="shared" si="13"/>
        <v>High Income</v>
      </c>
    </row>
    <row r="420" spans="1:38"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IF(Table1[[#This Row],[Attrition]]="Yes",1,0)</f>
        <v>0</v>
      </c>
      <c r="AK420" t="str">
        <f t="shared" si="12"/>
        <v>Young</v>
      </c>
      <c r="AL420" t="str">
        <f t="shared" si="13"/>
        <v>Low Income</v>
      </c>
    </row>
    <row r="421" spans="1:38"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IF(Table1[[#This Row],[Attrition]]="Yes",1,0)</f>
        <v>0</v>
      </c>
      <c r="AK421" t="str">
        <f t="shared" si="12"/>
        <v>Mid Career</v>
      </c>
      <c r="AL421" t="str">
        <f t="shared" si="13"/>
        <v>Low Income</v>
      </c>
    </row>
    <row r="422" spans="1:38"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IF(Table1[[#This Row],[Attrition]]="Yes",1,0)</f>
        <v>0</v>
      </c>
      <c r="AK422" t="str">
        <f t="shared" si="12"/>
        <v>Young</v>
      </c>
      <c r="AL422" t="str">
        <f t="shared" si="13"/>
        <v>High Income</v>
      </c>
    </row>
    <row r="423" spans="1:38"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IF(Table1[[#This Row],[Attrition]]="Yes",1,0)</f>
        <v>1</v>
      </c>
      <c r="AK423" t="str">
        <f t="shared" si="12"/>
        <v>Young</v>
      </c>
      <c r="AL423" t="str">
        <f t="shared" si="13"/>
        <v>Low Income</v>
      </c>
    </row>
    <row r="424" spans="1:38"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IF(Table1[[#This Row],[Attrition]]="Yes",1,0)</f>
        <v>1</v>
      </c>
      <c r="AK424" t="str">
        <f t="shared" si="12"/>
        <v>Young</v>
      </c>
      <c r="AL424" t="str">
        <f t="shared" si="13"/>
        <v>Low Income</v>
      </c>
    </row>
    <row r="425" spans="1:38"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IF(Table1[[#This Row],[Attrition]]="Yes",1,0)</f>
        <v>0</v>
      </c>
      <c r="AK425" t="str">
        <f t="shared" si="12"/>
        <v>Mid Career</v>
      </c>
      <c r="AL425" t="str">
        <f t="shared" si="13"/>
        <v>High Income</v>
      </c>
    </row>
    <row r="426" spans="1:38"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IF(Table1[[#This Row],[Attrition]]="Yes",1,0)</f>
        <v>0</v>
      </c>
      <c r="AK426" t="str">
        <f t="shared" si="12"/>
        <v>Senior</v>
      </c>
      <c r="AL426" t="str">
        <f t="shared" si="13"/>
        <v>High Income</v>
      </c>
    </row>
    <row r="427" spans="1:38"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IF(Table1[[#This Row],[Attrition]]="Yes",1,0)</f>
        <v>0</v>
      </c>
      <c r="AK427" t="str">
        <f t="shared" si="12"/>
        <v>Senior</v>
      </c>
      <c r="AL427" t="str">
        <f t="shared" si="13"/>
        <v>High Income</v>
      </c>
    </row>
    <row r="428" spans="1:38"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IF(Table1[[#This Row],[Attrition]]="Yes",1,0)</f>
        <v>0</v>
      </c>
      <c r="AK428" t="str">
        <f t="shared" si="12"/>
        <v>Mid Career</v>
      </c>
      <c r="AL428" t="str">
        <f t="shared" si="13"/>
        <v>Low Income</v>
      </c>
    </row>
    <row r="429" spans="1:38"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IF(Table1[[#This Row],[Attrition]]="Yes",1,0)</f>
        <v>0</v>
      </c>
      <c r="AK429" t="str">
        <f t="shared" si="12"/>
        <v>Senior</v>
      </c>
      <c r="AL429" t="str">
        <f t="shared" si="13"/>
        <v>High Income</v>
      </c>
    </row>
    <row r="430" spans="1:38"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IF(Table1[[#This Row],[Attrition]]="Yes",1,0)</f>
        <v>0</v>
      </c>
      <c r="AK430" t="str">
        <f t="shared" si="12"/>
        <v>Experienced</v>
      </c>
      <c r="AL430" t="str">
        <f t="shared" si="13"/>
        <v>Medium Income</v>
      </c>
    </row>
    <row r="431" spans="1:38"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IF(Table1[[#This Row],[Attrition]]="Yes",1,0)</f>
        <v>0</v>
      </c>
      <c r="AK431" t="str">
        <f t="shared" si="12"/>
        <v>Experienced</v>
      </c>
      <c r="AL431" t="str">
        <f t="shared" si="13"/>
        <v>High Income</v>
      </c>
    </row>
    <row r="432" spans="1:38"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IF(Table1[[#This Row],[Attrition]]="Yes",1,0)</f>
        <v>0</v>
      </c>
      <c r="AK432" t="str">
        <f t="shared" si="12"/>
        <v>Mid Career</v>
      </c>
      <c r="AL432" t="str">
        <f t="shared" si="13"/>
        <v>Medium Income</v>
      </c>
    </row>
    <row r="433" spans="1:38"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IF(Table1[[#This Row],[Attrition]]="Yes",1,0)</f>
        <v>0</v>
      </c>
      <c r="AK433" t="str">
        <f t="shared" si="12"/>
        <v>Senior</v>
      </c>
      <c r="AL433" t="str">
        <f t="shared" si="13"/>
        <v>Medium Income</v>
      </c>
    </row>
    <row r="434" spans="1:38"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IF(Table1[[#This Row],[Attrition]]="Yes",1,0)</f>
        <v>0</v>
      </c>
      <c r="AK434" t="str">
        <f t="shared" si="12"/>
        <v>Mid Career</v>
      </c>
      <c r="AL434" t="str">
        <f t="shared" si="13"/>
        <v>Low Income</v>
      </c>
    </row>
    <row r="435" spans="1:38"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IF(Table1[[#This Row],[Attrition]]="Yes",1,0)</f>
        <v>0</v>
      </c>
      <c r="AK435" t="str">
        <f t="shared" si="12"/>
        <v>Experienced</v>
      </c>
      <c r="AL435" t="str">
        <f t="shared" si="13"/>
        <v>High Income</v>
      </c>
    </row>
    <row r="436" spans="1:38"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IF(Table1[[#This Row],[Attrition]]="Yes",1,0)</f>
        <v>0</v>
      </c>
      <c r="AK436" t="str">
        <f t="shared" si="12"/>
        <v>Mid Career</v>
      </c>
      <c r="AL436" t="str">
        <f t="shared" si="13"/>
        <v>High Income</v>
      </c>
    </row>
    <row r="437" spans="1:38"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IF(Table1[[#This Row],[Attrition]]="Yes",1,0)</f>
        <v>1</v>
      </c>
      <c r="AK437" t="str">
        <f t="shared" si="12"/>
        <v>Mid Career</v>
      </c>
      <c r="AL437" t="str">
        <f t="shared" si="13"/>
        <v>High Income</v>
      </c>
    </row>
    <row r="438" spans="1:38"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IF(Table1[[#This Row],[Attrition]]="Yes",1,0)</f>
        <v>1</v>
      </c>
      <c r="AK438" t="str">
        <f t="shared" si="12"/>
        <v>Mid Career</v>
      </c>
      <c r="AL438" t="str">
        <f t="shared" si="13"/>
        <v>Medium Income</v>
      </c>
    </row>
    <row r="439" spans="1:38"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IF(Table1[[#This Row],[Attrition]]="Yes",1,0)</f>
        <v>0</v>
      </c>
      <c r="AK439" t="str">
        <f t="shared" si="12"/>
        <v>Mid Career</v>
      </c>
      <c r="AL439" t="str">
        <f t="shared" si="13"/>
        <v>Low Income</v>
      </c>
    </row>
    <row r="440" spans="1:38"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IF(Table1[[#This Row],[Attrition]]="Yes",1,0)</f>
        <v>0</v>
      </c>
      <c r="AK440" t="str">
        <f t="shared" si="12"/>
        <v>Mid Career</v>
      </c>
      <c r="AL440" t="str">
        <f t="shared" si="13"/>
        <v>High Income</v>
      </c>
    </row>
    <row r="441" spans="1:38"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IF(Table1[[#This Row],[Attrition]]="Yes",1,0)</f>
        <v>1</v>
      </c>
      <c r="AK441" t="str">
        <f t="shared" si="12"/>
        <v>Mid Career</v>
      </c>
      <c r="AL441" t="str">
        <f t="shared" si="13"/>
        <v>High Income</v>
      </c>
    </row>
    <row r="442" spans="1:38"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IF(Table1[[#This Row],[Attrition]]="Yes",1,0)</f>
        <v>1</v>
      </c>
      <c r="AK442" t="str">
        <f t="shared" si="12"/>
        <v>Mid Career</v>
      </c>
      <c r="AL442" t="str">
        <f t="shared" si="13"/>
        <v>High Income</v>
      </c>
    </row>
    <row r="443" spans="1:38"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IF(Table1[[#This Row],[Attrition]]="Yes",1,0)</f>
        <v>0</v>
      </c>
      <c r="AK443" t="str">
        <f t="shared" si="12"/>
        <v>Experienced</v>
      </c>
      <c r="AL443" t="str">
        <f t="shared" si="13"/>
        <v>Low Income</v>
      </c>
    </row>
    <row r="444" spans="1:38"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IF(Table1[[#This Row],[Attrition]]="Yes",1,0)</f>
        <v>0</v>
      </c>
      <c r="AK444" t="str">
        <f t="shared" si="12"/>
        <v>Mid Career</v>
      </c>
      <c r="AL444" t="str">
        <f t="shared" si="13"/>
        <v>High Income</v>
      </c>
    </row>
    <row r="445" spans="1:38"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IF(Table1[[#This Row],[Attrition]]="Yes",1,0)</f>
        <v>1</v>
      </c>
      <c r="AK445" t="str">
        <f t="shared" si="12"/>
        <v>Young</v>
      </c>
      <c r="AL445" t="str">
        <f t="shared" si="13"/>
        <v>Medium Income</v>
      </c>
    </row>
    <row r="446" spans="1:38"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IF(Table1[[#This Row],[Attrition]]="Yes",1,0)</f>
        <v>0</v>
      </c>
      <c r="AK446" t="str">
        <f t="shared" si="12"/>
        <v>Experienced</v>
      </c>
      <c r="AL446" t="str">
        <f t="shared" si="13"/>
        <v>Medium Income</v>
      </c>
    </row>
    <row r="447" spans="1:38"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IF(Table1[[#This Row],[Attrition]]="Yes",1,0)</f>
        <v>0</v>
      </c>
      <c r="AK447" t="str">
        <f t="shared" si="12"/>
        <v>Senior</v>
      </c>
      <c r="AL447" t="str">
        <f t="shared" si="13"/>
        <v>High Income</v>
      </c>
    </row>
    <row r="448" spans="1:38"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IF(Table1[[#This Row],[Attrition]]="Yes",1,0)</f>
        <v>0</v>
      </c>
      <c r="AK448" t="str">
        <f t="shared" si="12"/>
        <v>Experienced</v>
      </c>
      <c r="AL448" t="str">
        <f t="shared" si="13"/>
        <v>Medium Income</v>
      </c>
    </row>
    <row r="449" spans="1:38"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IF(Table1[[#This Row],[Attrition]]="Yes",1,0)</f>
        <v>0</v>
      </c>
      <c r="AK449" t="str">
        <f t="shared" si="12"/>
        <v>Mid Career</v>
      </c>
      <c r="AL449" t="str">
        <f t="shared" si="13"/>
        <v>Medium Income</v>
      </c>
    </row>
    <row r="450" spans="1:38"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IF(Table1[[#This Row],[Attrition]]="Yes",1,0)</f>
        <v>0</v>
      </c>
      <c r="AK450" t="str">
        <f t="shared" ref="AK450:AK513" si="14">IF(A450&lt;30,"Young",
IF(A450&lt;40,"Mid Career",
IF(A450&lt;50,"Experienced","Senior")))</f>
        <v>Experienced</v>
      </c>
      <c r="AL450" t="str">
        <f t="shared" ref="AL450:AL513" si="15">IF(S450&lt;3000,"Low Income",IF(S450&lt;7000,"Medium Income","High Income"))</f>
        <v>High Income</v>
      </c>
    </row>
    <row r="451" spans="1:38"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IF(Table1[[#This Row],[Attrition]]="Yes",1,0)</f>
        <v>0</v>
      </c>
      <c r="AK451" t="str">
        <f t="shared" si="14"/>
        <v>Mid Career</v>
      </c>
      <c r="AL451" t="str">
        <f t="shared" si="15"/>
        <v>Medium Income</v>
      </c>
    </row>
    <row r="452" spans="1:38"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IF(Table1[[#This Row],[Attrition]]="Yes",1,0)</f>
        <v>0</v>
      </c>
      <c r="AK452" t="str">
        <f t="shared" si="14"/>
        <v>Mid Career</v>
      </c>
      <c r="AL452" t="str">
        <f t="shared" si="15"/>
        <v>Medium Income</v>
      </c>
    </row>
    <row r="453" spans="1:38"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IF(Table1[[#This Row],[Attrition]]="Yes",1,0)</f>
        <v>0</v>
      </c>
      <c r="AK453" t="str">
        <f t="shared" si="14"/>
        <v>Experienced</v>
      </c>
      <c r="AL453" t="str">
        <f t="shared" si="15"/>
        <v>High Income</v>
      </c>
    </row>
    <row r="454" spans="1:38"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IF(Table1[[#This Row],[Attrition]]="Yes",1,0)</f>
        <v>0</v>
      </c>
      <c r="AK454" t="str">
        <f t="shared" si="14"/>
        <v>Experienced</v>
      </c>
      <c r="AL454" t="str">
        <f t="shared" si="15"/>
        <v>Medium Income</v>
      </c>
    </row>
    <row r="455" spans="1:38"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IF(Table1[[#This Row],[Attrition]]="Yes",1,0)</f>
        <v>1</v>
      </c>
      <c r="AK455" t="str">
        <f t="shared" si="14"/>
        <v>Young</v>
      </c>
      <c r="AL455" t="str">
        <f t="shared" si="15"/>
        <v>Low Income</v>
      </c>
    </row>
    <row r="456" spans="1:38"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IF(Table1[[#This Row],[Attrition]]="Yes",1,0)</f>
        <v>0</v>
      </c>
      <c r="AK456" t="str">
        <f t="shared" si="14"/>
        <v>Young</v>
      </c>
      <c r="AL456" t="str">
        <f t="shared" si="15"/>
        <v>Medium Income</v>
      </c>
    </row>
    <row r="457" spans="1:38"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IF(Table1[[#This Row],[Attrition]]="Yes",1,0)</f>
        <v>0</v>
      </c>
      <c r="AK457" t="str">
        <f t="shared" si="14"/>
        <v>Mid Career</v>
      </c>
      <c r="AL457" t="str">
        <f t="shared" si="15"/>
        <v>High Income</v>
      </c>
    </row>
    <row r="458" spans="1:38"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IF(Table1[[#This Row],[Attrition]]="Yes",1,0)</f>
        <v>0</v>
      </c>
      <c r="AK458" t="str">
        <f t="shared" si="14"/>
        <v>Mid Career</v>
      </c>
      <c r="AL458" t="str">
        <f t="shared" si="15"/>
        <v>High Income</v>
      </c>
    </row>
    <row r="459" spans="1:38"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IF(Table1[[#This Row],[Attrition]]="Yes",1,0)</f>
        <v>1</v>
      </c>
      <c r="AK459" t="str">
        <f t="shared" si="14"/>
        <v>Young</v>
      </c>
      <c r="AL459" t="str">
        <f t="shared" si="15"/>
        <v>Low Income</v>
      </c>
    </row>
    <row r="460" spans="1:38"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IF(Table1[[#This Row],[Attrition]]="Yes",1,0)</f>
        <v>0</v>
      </c>
      <c r="AK460" t="str">
        <f t="shared" si="14"/>
        <v>Experienced</v>
      </c>
      <c r="AL460" t="str">
        <f t="shared" si="15"/>
        <v>High Income</v>
      </c>
    </row>
    <row r="461" spans="1:38"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IF(Table1[[#This Row],[Attrition]]="Yes",1,0)</f>
        <v>0</v>
      </c>
      <c r="AK461" t="str">
        <f t="shared" si="14"/>
        <v>Experienced</v>
      </c>
      <c r="AL461" t="str">
        <f t="shared" si="15"/>
        <v>Medium Income</v>
      </c>
    </row>
    <row r="462" spans="1:38"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IF(Table1[[#This Row],[Attrition]]="Yes",1,0)</f>
        <v>0</v>
      </c>
      <c r="AK462" t="str">
        <f t="shared" si="14"/>
        <v>Young</v>
      </c>
      <c r="AL462" t="str">
        <f t="shared" si="15"/>
        <v>Medium Income</v>
      </c>
    </row>
    <row r="463" spans="1:38"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IF(Table1[[#This Row],[Attrition]]="Yes",1,0)</f>
        <v>0</v>
      </c>
      <c r="AK463" t="str">
        <f t="shared" si="14"/>
        <v>Mid Career</v>
      </c>
      <c r="AL463" t="str">
        <f t="shared" si="15"/>
        <v>Medium Income</v>
      </c>
    </row>
    <row r="464" spans="1:38"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IF(Table1[[#This Row],[Attrition]]="Yes",1,0)</f>
        <v>0</v>
      </c>
      <c r="AK464" t="str">
        <f t="shared" si="14"/>
        <v>Mid Career</v>
      </c>
      <c r="AL464" t="str">
        <f t="shared" si="15"/>
        <v>Medium Income</v>
      </c>
    </row>
    <row r="465" spans="1:38"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IF(Table1[[#This Row],[Attrition]]="Yes",1,0)</f>
        <v>1</v>
      </c>
      <c r="AK465" t="str">
        <f t="shared" si="14"/>
        <v>Young</v>
      </c>
      <c r="AL465" t="str">
        <f t="shared" si="15"/>
        <v>Low Income</v>
      </c>
    </row>
    <row r="466" spans="1:38"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IF(Table1[[#This Row],[Attrition]]="Yes",1,0)</f>
        <v>0</v>
      </c>
      <c r="AK466" t="str">
        <f t="shared" si="14"/>
        <v>Mid Career</v>
      </c>
      <c r="AL466" t="str">
        <f t="shared" si="15"/>
        <v>High Income</v>
      </c>
    </row>
    <row r="467" spans="1:38"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IF(Table1[[#This Row],[Attrition]]="Yes",1,0)</f>
        <v>0</v>
      </c>
      <c r="AK467" t="str">
        <f t="shared" si="14"/>
        <v>Experienced</v>
      </c>
      <c r="AL467" t="str">
        <f t="shared" si="15"/>
        <v>High Income</v>
      </c>
    </row>
    <row r="468" spans="1:38"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IF(Table1[[#This Row],[Attrition]]="Yes",1,0)</f>
        <v>0</v>
      </c>
      <c r="AK468" t="str">
        <f t="shared" si="14"/>
        <v>Experienced</v>
      </c>
      <c r="AL468" t="str">
        <f t="shared" si="15"/>
        <v>High Income</v>
      </c>
    </row>
    <row r="469" spans="1:38"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IF(Table1[[#This Row],[Attrition]]="Yes",1,0)</f>
        <v>0</v>
      </c>
      <c r="AK469" t="str">
        <f t="shared" si="14"/>
        <v>Mid Career</v>
      </c>
      <c r="AL469" t="str">
        <f t="shared" si="15"/>
        <v>High Income</v>
      </c>
    </row>
    <row r="470" spans="1:38"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IF(Table1[[#This Row],[Attrition]]="Yes",1,0)</f>
        <v>0</v>
      </c>
      <c r="AK470" t="str">
        <f t="shared" si="14"/>
        <v>Senior</v>
      </c>
      <c r="AL470" t="str">
        <f t="shared" si="15"/>
        <v>Medium Income</v>
      </c>
    </row>
    <row r="471" spans="1:38"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IF(Table1[[#This Row],[Attrition]]="Yes",1,0)</f>
        <v>1</v>
      </c>
      <c r="AK471" t="str">
        <f t="shared" si="14"/>
        <v>Mid Career</v>
      </c>
      <c r="AL471" t="str">
        <f t="shared" si="15"/>
        <v>Medium Income</v>
      </c>
    </row>
    <row r="472" spans="1:38"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IF(Table1[[#This Row],[Attrition]]="Yes",1,0)</f>
        <v>0</v>
      </c>
      <c r="AK472" t="str">
        <f t="shared" si="14"/>
        <v>Young</v>
      </c>
      <c r="AL472" t="str">
        <f t="shared" si="15"/>
        <v>Low Income</v>
      </c>
    </row>
    <row r="473" spans="1:38"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IF(Table1[[#This Row],[Attrition]]="Yes",1,0)</f>
        <v>0</v>
      </c>
      <c r="AK473" t="str">
        <f t="shared" si="14"/>
        <v>Mid Career</v>
      </c>
      <c r="AL473" t="str">
        <f t="shared" si="15"/>
        <v>High Income</v>
      </c>
    </row>
    <row r="474" spans="1:38"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IF(Table1[[#This Row],[Attrition]]="Yes",1,0)</f>
        <v>0</v>
      </c>
      <c r="AK474" t="str">
        <f t="shared" si="14"/>
        <v>Mid Career</v>
      </c>
      <c r="AL474" t="str">
        <f t="shared" si="15"/>
        <v>Medium Income</v>
      </c>
    </row>
    <row r="475" spans="1:38"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IF(Table1[[#This Row],[Attrition]]="Yes",1,0)</f>
        <v>0</v>
      </c>
      <c r="AK475" t="str">
        <f t="shared" si="14"/>
        <v>Experienced</v>
      </c>
      <c r="AL475" t="str">
        <f t="shared" si="15"/>
        <v>High Income</v>
      </c>
    </row>
    <row r="476" spans="1:38"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IF(Table1[[#This Row],[Attrition]]="Yes",1,0)</f>
        <v>0</v>
      </c>
      <c r="AK476" t="str">
        <f t="shared" si="14"/>
        <v>Young</v>
      </c>
      <c r="AL476" t="str">
        <f t="shared" si="15"/>
        <v>Low Income</v>
      </c>
    </row>
    <row r="477" spans="1:38"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IF(Table1[[#This Row],[Attrition]]="Yes",1,0)</f>
        <v>0</v>
      </c>
      <c r="AK477" t="str">
        <f t="shared" si="14"/>
        <v>Young</v>
      </c>
      <c r="AL477" t="str">
        <f t="shared" si="15"/>
        <v>Medium Income</v>
      </c>
    </row>
    <row r="478" spans="1:38"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IF(Table1[[#This Row],[Attrition]]="Yes",1,0)</f>
        <v>0</v>
      </c>
      <c r="AK478" t="str">
        <f t="shared" si="14"/>
        <v>Young</v>
      </c>
      <c r="AL478" t="str">
        <f t="shared" si="15"/>
        <v>Low Income</v>
      </c>
    </row>
    <row r="479" spans="1:38"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IF(Table1[[#This Row],[Attrition]]="Yes",1,0)</f>
        <v>0</v>
      </c>
      <c r="AK479" t="str">
        <f t="shared" si="14"/>
        <v>Senior</v>
      </c>
      <c r="AL479" t="str">
        <f t="shared" si="15"/>
        <v>High Income</v>
      </c>
    </row>
    <row r="480" spans="1:38"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IF(Table1[[#This Row],[Attrition]]="Yes",1,0)</f>
        <v>0</v>
      </c>
      <c r="AK480" t="str">
        <f t="shared" si="14"/>
        <v>Young</v>
      </c>
      <c r="AL480" t="str">
        <f t="shared" si="15"/>
        <v>Low Income</v>
      </c>
    </row>
    <row r="481" spans="1:38"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IF(Table1[[#This Row],[Attrition]]="Yes",1,0)</f>
        <v>1</v>
      </c>
      <c r="AK481" t="str">
        <f t="shared" si="14"/>
        <v>Young</v>
      </c>
      <c r="AL481" t="str">
        <f t="shared" si="15"/>
        <v>Low Income</v>
      </c>
    </row>
    <row r="482" spans="1:38"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IF(Table1[[#This Row],[Attrition]]="Yes",1,0)</f>
        <v>1</v>
      </c>
      <c r="AK482" t="str">
        <f t="shared" si="14"/>
        <v>Mid Career</v>
      </c>
      <c r="AL482" t="str">
        <f t="shared" si="15"/>
        <v>Low Income</v>
      </c>
    </row>
    <row r="483" spans="1:38"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IF(Table1[[#This Row],[Attrition]]="Yes",1,0)</f>
        <v>0</v>
      </c>
      <c r="AK483" t="str">
        <f t="shared" si="14"/>
        <v>Mid Career</v>
      </c>
      <c r="AL483" t="str">
        <f t="shared" si="15"/>
        <v>Medium Income</v>
      </c>
    </row>
    <row r="484" spans="1:38"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IF(Table1[[#This Row],[Attrition]]="Yes",1,0)</f>
        <v>1</v>
      </c>
      <c r="AK484" t="str">
        <f t="shared" si="14"/>
        <v>Mid Career</v>
      </c>
      <c r="AL484" t="str">
        <f t="shared" si="15"/>
        <v>Medium Income</v>
      </c>
    </row>
    <row r="485" spans="1:38"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IF(Table1[[#This Row],[Attrition]]="Yes",1,0)</f>
        <v>0</v>
      </c>
      <c r="AK485" t="str">
        <f t="shared" si="14"/>
        <v>Mid Career</v>
      </c>
      <c r="AL485" t="str">
        <f t="shared" si="15"/>
        <v>Medium Income</v>
      </c>
    </row>
    <row r="486" spans="1:38"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IF(Table1[[#This Row],[Attrition]]="Yes",1,0)</f>
        <v>0</v>
      </c>
      <c r="AK486" t="str">
        <f t="shared" si="14"/>
        <v>Mid Career</v>
      </c>
      <c r="AL486" t="str">
        <f t="shared" si="15"/>
        <v>Medium Income</v>
      </c>
    </row>
    <row r="487" spans="1:38"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IF(Table1[[#This Row],[Attrition]]="Yes",1,0)</f>
        <v>0</v>
      </c>
      <c r="AK487" t="str">
        <f t="shared" si="14"/>
        <v>Young</v>
      </c>
      <c r="AL487" t="str">
        <f t="shared" si="15"/>
        <v>Low Income</v>
      </c>
    </row>
    <row r="488" spans="1:38"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IF(Table1[[#This Row],[Attrition]]="Yes",1,0)</f>
        <v>0</v>
      </c>
      <c r="AK488" t="str">
        <f t="shared" si="14"/>
        <v>Mid Career</v>
      </c>
      <c r="AL488" t="str">
        <f t="shared" si="15"/>
        <v>High Income</v>
      </c>
    </row>
    <row r="489" spans="1:38"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IF(Table1[[#This Row],[Attrition]]="Yes",1,0)</f>
        <v>0</v>
      </c>
      <c r="AK489" t="str">
        <f t="shared" si="14"/>
        <v>Young</v>
      </c>
      <c r="AL489" t="str">
        <f t="shared" si="15"/>
        <v>Low Income</v>
      </c>
    </row>
    <row r="490" spans="1:38"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IF(Table1[[#This Row],[Attrition]]="Yes",1,0)</f>
        <v>0</v>
      </c>
      <c r="AK490" t="str">
        <f t="shared" si="14"/>
        <v>Experienced</v>
      </c>
      <c r="AL490" t="str">
        <f t="shared" si="15"/>
        <v>Medium Income</v>
      </c>
    </row>
    <row r="491" spans="1:38"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IF(Table1[[#This Row],[Attrition]]="Yes",1,0)</f>
        <v>0</v>
      </c>
      <c r="AK491" t="str">
        <f t="shared" si="14"/>
        <v>Experienced</v>
      </c>
      <c r="AL491" t="str">
        <f t="shared" si="15"/>
        <v>High Income</v>
      </c>
    </row>
    <row r="492" spans="1:38"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IF(Table1[[#This Row],[Attrition]]="Yes",1,0)</f>
        <v>0</v>
      </c>
      <c r="AK492" t="str">
        <f t="shared" si="14"/>
        <v>Mid Career</v>
      </c>
      <c r="AL492" t="str">
        <f t="shared" si="15"/>
        <v>Low Income</v>
      </c>
    </row>
    <row r="493" spans="1:38"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IF(Table1[[#This Row],[Attrition]]="Yes",1,0)</f>
        <v>0</v>
      </c>
      <c r="AK493" t="str">
        <f t="shared" si="14"/>
        <v>Experienced</v>
      </c>
      <c r="AL493" t="str">
        <f t="shared" si="15"/>
        <v>Medium Income</v>
      </c>
    </row>
    <row r="494" spans="1:38"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IF(Table1[[#This Row],[Attrition]]="Yes",1,0)</f>
        <v>0</v>
      </c>
      <c r="AK494" t="str">
        <f t="shared" si="14"/>
        <v>Experienced</v>
      </c>
      <c r="AL494" t="str">
        <f t="shared" si="15"/>
        <v>High Income</v>
      </c>
    </row>
    <row r="495" spans="1:38"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IF(Table1[[#This Row],[Attrition]]="Yes",1,0)</f>
        <v>0</v>
      </c>
      <c r="AK495" t="str">
        <f t="shared" si="14"/>
        <v>Experienced</v>
      </c>
      <c r="AL495" t="str">
        <f t="shared" si="15"/>
        <v>Medium Income</v>
      </c>
    </row>
    <row r="496" spans="1:38"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IF(Table1[[#This Row],[Attrition]]="Yes",1,0)</f>
        <v>0</v>
      </c>
      <c r="AK496" t="str">
        <f t="shared" si="14"/>
        <v>Mid Career</v>
      </c>
      <c r="AL496" t="str">
        <f t="shared" si="15"/>
        <v>Low Income</v>
      </c>
    </row>
    <row r="497" spans="1:38"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IF(Table1[[#This Row],[Attrition]]="Yes",1,0)</f>
        <v>1</v>
      </c>
      <c r="AK497" t="str">
        <f t="shared" si="14"/>
        <v>Young</v>
      </c>
      <c r="AL497" t="str">
        <f t="shared" si="15"/>
        <v>Medium Income</v>
      </c>
    </row>
    <row r="498" spans="1:38"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IF(Table1[[#This Row],[Attrition]]="Yes",1,0)</f>
        <v>0</v>
      </c>
      <c r="AK498" t="str">
        <f t="shared" si="14"/>
        <v>Young</v>
      </c>
      <c r="AL498" t="str">
        <f t="shared" si="15"/>
        <v>Medium Income</v>
      </c>
    </row>
    <row r="499" spans="1:38"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IF(Table1[[#This Row],[Attrition]]="Yes",1,0)</f>
        <v>0</v>
      </c>
      <c r="AK499" t="str">
        <f t="shared" si="14"/>
        <v>Experienced</v>
      </c>
      <c r="AL499" t="str">
        <f t="shared" si="15"/>
        <v>High Income</v>
      </c>
    </row>
    <row r="500" spans="1:38"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IF(Table1[[#This Row],[Attrition]]="Yes",1,0)</f>
        <v>0</v>
      </c>
      <c r="AK500" t="str">
        <f t="shared" si="14"/>
        <v>Young</v>
      </c>
      <c r="AL500" t="str">
        <f t="shared" si="15"/>
        <v>Low Income</v>
      </c>
    </row>
    <row r="501" spans="1:38"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IF(Table1[[#This Row],[Attrition]]="Yes",1,0)</f>
        <v>0</v>
      </c>
      <c r="AK501" t="str">
        <f t="shared" si="14"/>
        <v>Mid Career</v>
      </c>
      <c r="AL501" t="str">
        <f t="shared" si="15"/>
        <v>High Income</v>
      </c>
    </row>
    <row r="502" spans="1:38"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IF(Table1[[#This Row],[Attrition]]="Yes",1,0)</f>
        <v>0</v>
      </c>
      <c r="AK502" t="str">
        <f t="shared" si="14"/>
        <v>Mid Career</v>
      </c>
      <c r="AL502" t="str">
        <f t="shared" si="15"/>
        <v>Medium Income</v>
      </c>
    </row>
    <row r="503" spans="1:38"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IF(Table1[[#This Row],[Attrition]]="Yes",1,0)</f>
        <v>0</v>
      </c>
      <c r="AK503" t="str">
        <f t="shared" si="14"/>
        <v>Mid Career</v>
      </c>
      <c r="AL503" t="str">
        <f t="shared" si="15"/>
        <v>Low Income</v>
      </c>
    </row>
    <row r="504" spans="1:38"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IF(Table1[[#This Row],[Attrition]]="Yes",1,0)</f>
        <v>0</v>
      </c>
      <c r="AK504" t="str">
        <f t="shared" si="14"/>
        <v>Senior</v>
      </c>
      <c r="AL504" t="str">
        <f t="shared" si="15"/>
        <v>High Income</v>
      </c>
    </row>
    <row r="505" spans="1:38"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IF(Table1[[#This Row],[Attrition]]="Yes",1,0)</f>
        <v>0</v>
      </c>
      <c r="AK505" t="str">
        <f t="shared" si="14"/>
        <v>Mid Career</v>
      </c>
      <c r="AL505" t="str">
        <f t="shared" si="15"/>
        <v>Low Income</v>
      </c>
    </row>
    <row r="506" spans="1:38"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IF(Table1[[#This Row],[Attrition]]="Yes",1,0)</f>
        <v>1</v>
      </c>
      <c r="AK506" t="str">
        <f t="shared" si="14"/>
        <v>Experienced</v>
      </c>
      <c r="AL506" t="str">
        <f t="shared" si="15"/>
        <v>Medium Income</v>
      </c>
    </row>
    <row r="507" spans="1:38"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IF(Table1[[#This Row],[Attrition]]="Yes",1,0)</f>
        <v>0</v>
      </c>
      <c r="AK507" t="str">
        <f t="shared" si="14"/>
        <v>Young</v>
      </c>
      <c r="AL507" t="str">
        <f t="shared" si="15"/>
        <v>Low Income</v>
      </c>
    </row>
    <row r="508" spans="1:38"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IF(Table1[[#This Row],[Attrition]]="Yes",1,0)</f>
        <v>0</v>
      </c>
      <c r="AK508" t="str">
        <f t="shared" si="14"/>
        <v>Mid Career</v>
      </c>
      <c r="AL508" t="str">
        <f t="shared" si="15"/>
        <v>High Income</v>
      </c>
    </row>
    <row r="509" spans="1:38"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IF(Table1[[#This Row],[Attrition]]="Yes",1,0)</f>
        <v>0</v>
      </c>
      <c r="AK509" t="str">
        <f t="shared" si="14"/>
        <v>Young</v>
      </c>
      <c r="AL509" t="str">
        <f t="shared" si="15"/>
        <v>Medium Income</v>
      </c>
    </row>
    <row r="510" spans="1:38"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IF(Table1[[#This Row],[Attrition]]="Yes",1,0)</f>
        <v>0</v>
      </c>
      <c r="AK510" t="str">
        <f t="shared" si="14"/>
        <v>Mid Career</v>
      </c>
      <c r="AL510" t="str">
        <f t="shared" si="15"/>
        <v>Medium Income</v>
      </c>
    </row>
    <row r="511" spans="1:38"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IF(Table1[[#This Row],[Attrition]]="Yes",1,0)</f>
        <v>0</v>
      </c>
      <c r="AK511" t="str">
        <f t="shared" si="14"/>
        <v>Mid Career</v>
      </c>
      <c r="AL511" t="str">
        <f t="shared" si="15"/>
        <v>High Income</v>
      </c>
    </row>
    <row r="512" spans="1:38"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IF(Table1[[#This Row],[Attrition]]="Yes",1,0)</f>
        <v>0</v>
      </c>
      <c r="AK512" t="str">
        <f t="shared" si="14"/>
        <v>Senior</v>
      </c>
      <c r="AL512" t="str">
        <f t="shared" si="15"/>
        <v>High Income</v>
      </c>
    </row>
    <row r="513" spans="1:38"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IF(Table1[[#This Row],[Attrition]]="Yes",1,0)</f>
        <v>0</v>
      </c>
      <c r="AK513" t="str">
        <f t="shared" si="14"/>
        <v>Mid Career</v>
      </c>
      <c r="AL513" t="str">
        <f t="shared" si="15"/>
        <v>High Income</v>
      </c>
    </row>
    <row r="514" spans="1:38"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IF(Table1[[#This Row],[Attrition]]="Yes",1,0)</f>
        <v>0</v>
      </c>
      <c r="AK514" t="str">
        <f t="shared" ref="AK514:AK577" si="16">IF(A514&lt;30,"Young",
IF(A514&lt;40,"Mid Career",
IF(A514&lt;50,"Experienced","Senior")))</f>
        <v>Young</v>
      </c>
      <c r="AL514" t="str">
        <f t="shared" ref="AL514:AL577" si="17">IF(S514&lt;3000,"Low Income",IF(S514&lt;7000,"Medium Income","High Income"))</f>
        <v>Low Income</v>
      </c>
    </row>
    <row r="515" spans="1:38"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IF(Table1[[#This Row],[Attrition]]="Yes",1,0)</f>
        <v>1</v>
      </c>
      <c r="AK515" t="str">
        <f t="shared" si="16"/>
        <v>Young</v>
      </c>
      <c r="AL515" t="str">
        <f t="shared" si="17"/>
        <v>Low Income</v>
      </c>
    </row>
    <row r="516" spans="1:38"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IF(Table1[[#This Row],[Attrition]]="Yes",1,0)</f>
        <v>1</v>
      </c>
      <c r="AK516" t="str">
        <f t="shared" si="16"/>
        <v>Mid Career</v>
      </c>
      <c r="AL516" t="str">
        <f t="shared" si="17"/>
        <v>Medium Income</v>
      </c>
    </row>
    <row r="517" spans="1:38"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IF(Table1[[#This Row],[Attrition]]="Yes",1,0)</f>
        <v>0</v>
      </c>
      <c r="AK517" t="str">
        <f t="shared" si="16"/>
        <v>Mid Career</v>
      </c>
      <c r="AL517" t="str">
        <f t="shared" si="17"/>
        <v>Low Income</v>
      </c>
    </row>
    <row r="518" spans="1:38"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IF(Table1[[#This Row],[Attrition]]="Yes",1,0)</f>
        <v>0</v>
      </c>
      <c r="AK518" t="str">
        <f t="shared" si="16"/>
        <v>Young</v>
      </c>
      <c r="AL518" t="str">
        <f t="shared" si="17"/>
        <v>Low Income</v>
      </c>
    </row>
    <row r="519" spans="1:38"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IF(Table1[[#This Row],[Attrition]]="Yes",1,0)</f>
        <v>0</v>
      </c>
      <c r="AK519" t="str">
        <f t="shared" si="16"/>
        <v>Young</v>
      </c>
      <c r="AL519" t="str">
        <f t="shared" si="17"/>
        <v>Medium Income</v>
      </c>
    </row>
    <row r="520" spans="1:38"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IF(Table1[[#This Row],[Attrition]]="Yes",1,0)</f>
        <v>0</v>
      </c>
      <c r="AK520" t="str">
        <f t="shared" si="16"/>
        <v>Mid Career</v>
      </c>
      <c r="AL520" t="str">
        <f t="shared" si="17"/>
        <v>Medium Income</v>
      </c>
    </row>
    <row r="521" spans="1:38"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IF(Table1[[#This Row],[Attrition]]="Yes",1,0)</f>
        <v>0</v>
      </c>
      <c r="AK521" t="str">
        <f t="shared" si="16"/>
        <v>Young</v>
      </c>
      <c r="AL521" t="str">
        <f t="shared" si="17"/>
        <v>Low Income</v>
      </c>
    </row>
    <row r="522" spans="1:38"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IF(Table1[[#This Row],[Attrition]]="Yes",1,0)</f>
        <v>0</v>
      </c>
      <c r="AK522" t="str">
        <f t="shared" si="16"/>
        <v>Experienced</v>
      </c>
      <c r="AL522" t="str">
        <f t="shared" si="17"/>
        <v>High Income</v>
      </c>
    </row>
    <row r="523" spans="1:38"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IF(Table1[[#This Row],[Attrition]]="Yes",1,0)</f>
        <v>0</v>
      </c>
      <c r="AK523" t="str">
        <f t="shared" si="16"/>
        <v>Young</v>
      </c>
      <c r="AL523" t="str">
        <f t="shared" si="17"/>
        <v>Medium Income</v>
      </c>
    </row>
    <row r="524" spans="1:38"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IF(Table1[[#This Row],[Attrition]]="Yes",1,0)</f>
        <v>0</v>
      </c>
      <c r="AK524" t="str">
        <f t="shared" si="16"/>
        <v>Mid Career</v>
      </c>
      <c r="AL524" t="str">
        <f t="shared" si="17"/>
        <v>Medium Income</v>
      </c>
    </row>
    <row r="525" spans="1:38"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IF(Table1[[#This Row],[Attrition]]="Yes",1,0)</f>
        <v>0</v>
      </c>
      <c r="AK525" t="str">
        <f t="shared" si="16"/>
        <v>Senior</v>
      </c>
      <c r="AL525" t="str">
        <f t="shared" si="17"/>
        <v>Medium Income</v>
      </c>
    </row>
    <row r="526" spans="1:38"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IF(Table1[[#This Row],[Attrition]]="Yes",1,0)</f>
        <v>0</v>
      </c>
      <c r="AK526" t="str">
        <f t="shared" si="16"/>
        <v>Mid Career</v>
      </c>
      <c r="AL526" t="str">
        <f t="shared" si="17"/>
        <v>High Income</v>
      </c>
    </row>
    <row r="527" spans="1:38"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IF(Table1[[#This Row],[Attrition]]="Yes",1,0)</f>
        <v>1</v>
      </c>
      <c r="AK527" t="str">
        <f t="shared" si="16"/>
        <v>Young</v>
      </c>
      <c r="AL527" t="str">
        <f t="shared" si="17"/>
        <v>Medium Income</v>
      </c>
    </row>
    <row r="528" spans="1:38"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IF(Table1[[#This Row],[Attrition]]="Yes",1,0)</f>
        <v>0</v>
      </c>
      <c r="AK528" t="str">
        <f t="shared" si="16"/>
        <v>Mid Career</v>
      </c>
      <c r="AL528" t="str">
        <f t="shared" si="17"/>
        <v>Medium Income</v>
      </c>
    </row>
    <row r="529" spans="1:38"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IF(Table1[[#This Row],[Attrition]]="Yes",1,0)</f>
        <v>0</v>
      </c>
      <c r="AK529" t="str">
        <f t="shared" si="16"/>
        <v>Mid Career</v>
      </c>
      <c r="AL529" t="str">
        <f t="shared" si="17"/>
        <v>Medium Income</v>
      </c>
    </row>
    <row r="530" spans="1:38"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IF(Table1[[#This Row],[Attrition]]="Yes",1,0)</f>
        <v>1</v>
      </c>
      <c r="AK530" t="str">
        <f t="shared" si="16"/>
        <v>Senior</v>
      </c>
      <c r="AL530" t="str">
        <f t="shared" si="17"/>
        <v>Medium Income</v>
      </c>
    </row>
    <row r="531" spans="1:38"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IF(Table1[[#This Row],[Attrition]]="Yes",1,0)</f>
        <v>0</v>
      </c>
      <c r="AK531" t="str">
        <f t="shared" si="16"/>
        <v>Mid Career</v>
      </c>
      <c r="AL531" t="str">
        <f t="shared" si="17"/>
        <v>High Income</v>
      </c>
    </row>
    <row r="532" spans="1:38"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IF(Table1[[#This Row],[Attrition]]="Yes",1,0)</f>
        <v>0</v>
      </c>
      <c r="AK532" t="str">
        <f t="shared" si="16"/>
        <v>Young</v>
      </c>
      <c r="AL532" t="str">
        <f t="shared" si="17"/>
        <v>High Income</v>
      </c>
    </row>
    <row r="533" spans="1:38"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IF(Table1[[#This Row],[Attrition]]="Yes",1,0)</f>
        <v>0</v>
      </c>
      <c r="AK533" t="str">
        <f t="shared" si="16"/>
        <v>Mid Career</v>
      </c>
      <c r="AL533" t="str">
        <f t="shared" si="17"/>
        <v>High Income</v>
      </c>
    </row>
    <row r="534" spans="1:38"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IF(Table1[[#This Row],[Attrition]]="Yes",1,0)</f>
        <v>0</v>
      </c>
      <c r="AK534" t="str">
        <f t="shared" si="16"/>
        <v>Experienced</v>
      </c>
      <c r="AL534" t="str">
        <f t="shared" si="17"/>
        <v>Medium Income</v>
      </c>
    </row>
    <row r="535" spans="1:38"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IF(Table1[[#This Row],[Attrition]]="Yes",1,0)</f>
        <v>0</v>
      </c>
      <c r="AK535" t="str">
        <f t="shared" si="16"/>
        <v>Experienced</v>
      </c>
      <c r="AL535" t="str">
        <f t="shared" si="17"/>
        <v>High Income</v>
      </c>
    </row>
    <row r="536" spans="1:38"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IF(Table1[[#This Row],[Attrition]]="Yes",1,0)</f>
        <v>0</v>
      </c>
      <c r="AK536" t="str">
        <f t="shared" si="16"/>
        <v>Senior</v>
      </c>
      <c r="AL536" t="str">
        <f t="shared" si="17"/>
        <v>High Income</v>
      </c>
    </row>
    <row r="537" spans="1:38"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IF(Table1[[#This Row],[Attrition]]="Yes",1,0)</f>
        <v>0</v>
      </c>
      <c r="AK537" t="str">
        <f t="shared" si="16"/>
        <v>Experienced</v>
      </c>
      <c r="AL537" t="str">
        <f t="shared" si="17"/>
        <v>High Income</v>
      </c>
    </row>
    <row r="538" spans="1:38"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IF(Table1[[#This Row],[Attrition]]="Yes",1,0)</f>
        <v>0</v>
      </c>
      <c r="AK538" t="str">
        <f t="shared" si="16"/>
        <v>Senior</v>
      </c>
      <c r="AL538" t="str">
        <f t="shared" si="17"/>
        <v>Medium Income</v>
      </c>
    </row>
    <row r="539" spans="1:38"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IF(Table1[[#This Row],[Attrition]]="Yes",1,0)</f>
        <v>0</v>
      </c>
      <c r="AK539" t="str">
        <f t="shared" si="16"/>
        <v>Young</v>
      </c>
      <c r="AL539" t="str">
        <f t="shared" si="17"/>
        <v>High Income</v>
      </c>
    </row>
    <row r="540" spans="1:38"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IF(Table1[[#This Row],[Attrition]]="Yes",1,0)</f>
        <v>0</v>
      </c>
      <c r="AK540" t="str">
        <f t="shared" si="16"/>
        <v>Experienced</v>
      </c>
      <c r="AL540" t="str">
        <f t="shared" si="17"/>
        <v>High Income</v>
      </c>
    </row>
    <row r="541" spans="1:38"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IF(Table1[[#This Row],[Attrition]]="Yes",1,0)</f>
        <v>0</v>
      </c>
      <c r="AK541" t="str">
        <f t="shared" si="16"/>
        <v>Senior</v>
      </c>
      <c r="AL541" t="str">
        <f t="shared" si="17"/>
        <v>Medium Income</v>
      </c>
    </row>
    <row r="542" spans="1:38"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IF(Table1[[#This Row],[Attrition]]="Yes",1,0)</f>
        <v>1</v>
      </c>
      <c r="AK542" t="str">
        <f t="shared" si="16"/>
        <v>Young</v>
      </c>
      <c r="AL542" t="str">
        <f t="shared" si="17"/>
        <v>Low Income</v>
      </c>
    </row>
    <row r="543" spans="1:38"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IF(Table1[[#This Row],[Attrition]]="Yes",1,0)</f>
        <v>0</v>
      </c>
      <c r="AK543" t="str">
        <f t="shared" si="16"/>
        <v>Mid Career</v>
      </c>
      <c r="AL543" t="str">
        <f t="shared" si="17"/>
        <v>High Income</v>
      </c>
    </row>
    <row r="544" spans="1:38"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IF(Table1[[#This Row],[Attrition]]="Yes",1,0)</f>
        <v>0</v>
      </c>
      <c r="AK544" t="str">
        <f t="shared" si="16"/>
        <v>Mid Career</v>
      </c>
      <c r="AL544" t="str">
        <f t="shared" si="17"/>
        <v>High Income</v>
      </c>
    </row>
    <row r="545" spans="1:38"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IF(Table1[[#This Row],[Attrition]]="Yes",1,0)</f>
        <v>0</v>
      </c>
      <c r="AK545" t="str">
        <f t="shared" si="16"/>
        <v>Experienced</v>
      </c>
      <c r="AL545" t="str">
        <f t="shared" si="17"/>
        <v>Medium Income</v>
      </c>
    </row>
    <row r="546" spans="1:38"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IF(Table1[[#This Row],[Attrition]]="Yes",1,0)</f>
        <v>0</v>
      </c>
      <c r="AK546" t="str">
        <f t="shared" si="16"/>
        <v>Experienced</v>
      </c>
      <c r="AL546" t="str">
        <f t="shared" si="17"/>
        <v>High Income</v>
      </c>
    </row>
    <row r="547" spans="1:38"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IF(Table1[[#This Row],[Attrition]]="Yes",1,0)</f>
        <v>0</v>
      </c>
      <c r="AK547" t="str">
        <f t="shared" si="16"/>
        <v>Mid Career</v>
      </c>
      <c r="AL547" t="str">
        <f t="shared" si="17"/>
        <v>Medium Income</v>
      </c>
    </row>
    <row r="548" spans="1:38"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IF(Table1[[#This Row],[Attrition]]="Yes",1,0)</f>
        <v>0</v>
      </c>
      <c r="AK548" t="str">
        <f t="shared" si="16"/>
        <v>Young</v>
      </c>
      <c r="AL548" t="str">
        <f t="shared" si="17"/>
        <v>Low Income</v>
      </c>
    </row>
    <row r="549" spans="1:38"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IF(Table1[[#This Row],[Attrition]]="Yes",1,0)</f>
        <v>1</v>
      </c>
      <c r="AK549" t="str">
        <f t="shared" si="16"/>
        <v>Experienced</v>
      </c>
      <c r="AL549" t="str">
        <f t="shared" si="17"/>
        <v>Low Income</v>
      </c>
    </row>
    <row r="550" spans="1:38"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IF(Table1[[#This Row],[Attrition]]="Yes",1,0)</f>
        <v>0</v>
      </c>
      <c r="AK550" t="str">
        <f t="shared" si="16"/>
        <v>Experienced</v>
      </c>
      <c r="AL550" t="str">
        <f t="shared" si="17"/>
        <v>Medium Income</v>
      </c>
    </row>
    <row r="551" spans="1:38"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IF(Table1[[#This Row],[Attrition]]="Yes",1,0)</f>
        <v>0</v>
      </c>
      <c r="AK551" t="str">
        <f t="shared" si="16"/>
        <v>Mid Career</v>
      </c>
      <c r="AL551" t="str">
        <f t="shared" si="17"/>
        <v>Medium Income</v>
      </c>
    </row>
    <row r="552" spans="1:38"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IF(Table1[[#This Row],[Attrition]]="Yes",1,0)</f>
        <v>0</v>
      </c>
      <c r="AK552" t="str">
        <f t="shared" si="16"/>
        <v>Young</v>
      </c>
      <c r="AL552" t="str">
        <f t="shared" si="17"/>
        <v>Low Income</v>
      </c>
    </row>
    <row r="553" spans="1:38"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IF(Table1[[#This Row],[Attrition]]="Yes",1,0)</f>
        <v>0</v>
      </c>
      <c r="AK553" t="str">
        <f t="shared" si="16"/>
        <v>Mid Career</v>
      </c>
      <c r="AL553" t="str">
        <f t="shared" si="17"/>
        <v>Medium Income</v>
      </c>
    </row>
    <row r="554" spans="1:38"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IF(Table1[[#This Row],[Attrition]]="Yes",1,0)</f>
        <v>0</v>
      </c>
      <c r="AK554" t="str">
        <f t="shared" si="16"/>
        <v>Senior</v>
      </c>
      <c r="AL554" t="str">
        <f t="shared" si="17"/>
        <v>High Income</v>
      </c>
    </row>
    <row r="555" spans="1:38"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IF(Table1[[#This Row],[Attrition]]="Yes",1,0)</f>
        <v>0</v>
      </c>
      <c r="AK555" t="str">
        <f t="shared" si="16"/>
        <v>Experienced</v>
      </c>
      <c r="AL555" t="str">
        <f t="shared" si="17"/>
        <v>Low Income</v>
      </c>
    </row>
    <row r="556" spans="1:38"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IF(Table1[[#This Row],[Attrition]]="Yes",1,0)</f>
        <v>0</v>
      </c>
      <c r="AK556" t="str">
        <f t="shared" si="16"/>
        <v>Young</v>
      </c>
      <c r="AL556" t="str">
        <f t="shared" si="17"/>
        <v>Medium Income</v>
      </c>
    </row>
    <row r="557" spans="1:38"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IF(Table1[[#This Row],[Attrition]]="Yes",1,0)</f>
        <v>0</v>
      </c>
      <c r="AK557" t="str">
        <f t="shared" si="16"/>
        <v>Young</v>
      </c>
      <c r="AL557" t="str">
        <f t="shared" si="17"/>
        <v>Low Income</v>
      </c>
    </row>
    <row r="558" spans="1:38"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IF(Table1[[#This Row],[Attrition]]="Yes",1,0)</f>
        <v>0</v>
      </c>
      <c r="AK558" t="str">
        <f t="shared" si="16"/>
        <v>Senior</v>
      </c>
      <c r="AL558" t="str">
        <f t="shared" si="17"/>
        <v>Low Income</v>
      </c>
    </row>
    <row r="559" spans="1:38"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IF(Table1[[#This Row],[Attrition]]="Yes",1,0)</f>
        <v>0</v>
      </c>
      <c r="AK559" t="str">
        <f t="shared" si="16"/>
        <v>Mid Career</v>
      </c>
      <c r="AL559" t="str">
        <f t="shared" si="17"/>
        <v>Medium Income</v>
      </c>
    </row>
    <row r="560" spans="1:38"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IF(Table1[[#This Row],[Attrition]]="Yes",1,0)</f>
        <v>0</v>
      </c>
      <c r="AK560" t="str">
        <f t="shared" si="16"/>
        <v>Mid Career</v>
      </c>
      <c r="AL560" t="str">
        <f t="shared" si="17"/>
        <v>Medium Income</v>
      </c>
    </row>
    <row r="561" spans="1:38"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IF(Table1[[#This Row],[Attrition]]="Yes",1,0)</f>
        <v>0</v>
      </c>
      <c r="AK561" t="str">
        <f t="shared" si="16"/>
        <v>Mid Career</v>
      </c>
      <c r="AL561" t="str">
        <f t="shared" si="17"/>
        <v>Medium Income</v>
      </c>
    </row>
    <row r="562" spans="1:38"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IF(Table1[[#This Row],[Attrition]]="Yes",1,0)</f>
        <v>0</v>
      </c>
      <c r="AK562" t="str">
        <f t="shared" si="16"/>
        <v>Mid Career</v>
      </c>
      <c r="AL562" t="str">
        <f t="shared" si="17"/>
        <v>Medium Income</v>
      </c>
    </row>
    <row r="563" spans="1:38"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IF(Table1[[#This Row],[Attrition]]="Yes",1,0)</f>
        <v>0</v>
      </c>
      <c r="AK563" t="str">
        <f t="shared" si="16"/>
        <v>Senior</v>
      </c>
      <c r="AL563" t="str">
        <f t="shared" si="17"/>
        <v>High Income</v>
      </c>
    </row>
    <row r="564" spans="1:38"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IF(Table1[[#This Row],[Attrition]]="Yes",1,0)</f>
        <v>1</v>
      </c>
      <c r="AK564" t="str">
        <f t="shared" si="16"/>
        <v>Mid Career</v>
      </c>
      <c r="AL564" t="str">
        <f t="shared" si="17"/>
        <v>Low Income</v>
      </c>
    </row>
    <row r="565" spans="1:38"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IF(Table1[[#This Row],[Attrition]]="Yes",1,0)</f>
        <v>0</v>
      </c>
      <c r="AK565" t="str">
        <f t="shared" si="16"/>
        <v>Young</v>
      </c>
      <c r="AL565" t="str">
        <f t="shared" si="17"/>
        <v>Medium Income</v>
      </c>
    </row>
    <row r="566" spans="1:38"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IF(Table1[[#This Row],[Attrition]]="Yes",1,0)</f>
        <v>0</v>
      </c>
      <c r="AK566" t="str">
        <f t="shared" si="16"/>
        <v>Experienced</v>
      </c>
      <c r="AL566" t="str">
        <f t="shared" si="17"/>
        <v>Medium Income</v>
      </c>
    </row>
    <row r="567" spans="1:38"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IF(Table1[[#This Row],[Attrition]]="Yes",1,0)</f>
        <v>0</v>
      </c>
      <c r="AK567" t="str">
        <f t="shared" si="16"/>
        <v>Young</v>
      </c>
      <c r="AL567" t="str">
        <f t="shared" si="17"/>
        <v>Medium Income</v>
      </c>
    </row>
    <row r="568" spans="1:38"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IF(Table1[[#This Row],[Attrition]]="Yes",1,0)</f>
        <v>1</v>
      </c>
      <c r="AK568" t="str">
        <f t="shared" si="16"/>
        <v>Experienced</v>
      </c>
      <c r="AL568" t="str">
        <f t="shared" si="17"/>
        <v>Medium Income</v>
      </c>
    </row>
    <row r="569" spans="1:38"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IF(Table1[[#This Row],[Attrition]]="Yes",1,0)</f>
        <v>0</v>
      </c>
      <c r="AK569" t="str">
        <f t="shared" si="16"/>
        <v>Mid Career</v>
      </c>
      <c r="AL569" t="str">
        <f t="shared" si="17"/>
        <v>Medium Income</v>
      </c>
    </row>
    <row r="570" spans="1:38"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IF(Table1[[#This Row],[Attrition]]="Yes",1,0)</f>
        <v>1</v>
      </c>
      <c r="AK570" t="str">
        <f t="shared" si="16"/>
        <v>Senior</v>
      </c>
      <c r="AL570" t="str">
        <f t="shared" si="17"/>
        <v>High Income</v>
      </c>
    </row>
    <row r="571" spans="1:38"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IF(Table1[[#This Row],[Attrition]]="Yes",1,0)</f>
        <v>0</v>
      </c>
      <c r="AK571" t="str">
        <f t="shared" si="16"/>
        <v>Mid Career</v>
      </c>
      <c r="AL571" t="str">
        <f t="shared" si="17"/>
        <v>High Income</v>
      </c>
    </row>
    <row r="572" spans="1:38"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IF(Table1[[#This Row],[Attrition]]="Yes",1,0)</f>
        <v>0</v>
      </c>
      <c r="AK572" t="str">
        <f t="shared" si="16"/>
        <v>Senior</v>
      </c>
      <c r="AL572" t="str">
        <f t="shared" si="17"/>
        <v>Medium Income</v>
      </c>
    </row>
    <row r="573" spans="1:38"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IF(Table1[[#This Row],[Attrition]]="Yes",1,0)</f>
        <v>0</v>
      </c>
      <c r="AK573" t="str">
        <f t="shared" si="16"/>
        <v>Young</v>
      </c>
      <c r="AL573" t="str">
        <f t="shared" si="17"/>
        <v>Medium Income</v>
      </c>
    </row>
    <row r="574" spans="1:38"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IF(Table1[[#This Row],[Attrition]]="Yes",1,0)</f>
        <v>0</v>
      </c>
      <c r="AK574" t="str">
        <f t="shared" si="16"/>
        <v>Young</v>
      </c>
      <c r="AL574" t="str">
        <f t="shared" si="17"/>
        <v>Medium Income</v>
      </c>
    </row>
    <row r="575" spans="1:38"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IF(Table1[[#This Row],[Attrition]]="Yes",1,0)</f>
        <v>1</v>
      </c>
      <c r="AK575" t="str">
        <f t="shared" si="16"/>
        <v>Young</v>
      </c>
      <c r="AL575" t="str">
        <f t="shared" si="17"/>
        <v>Medium Income</v>
      </c>
    </row>
    <row r="576" spans="1:38"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IF(Table1[[#This Row],[Attrition]]="Yes",1,0)</f>
        <v>0</v>
      </c>
      <c r="AK576" t="str">
        <f t="shared" si="16"/>
        <v>Mid Career</v>
      </c>
      <c r="AL576" t="str">
        <f t="shared" si="17"/>
        <v>Medium Income</v>
      </c>
    </row>
    <row r="577" spans="1:38"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IF(Table1[[#This Row],[Attrition]]="Yes",1,0)</f>
        <v>0</v>
      </c>
      <c r="AK577" t="str">
        <f t="shared" si="16"/>
        <v>Senior</v>
      </c>
      <c r="AL577" t="str">
        <f t="shared" si="17"/>
        <v>Medium Income</v>
      </c>
    </row>
    <row r="578" spans="1:38"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IF(Table1[[#This Row],[Attrition]]="Yes",1,0)</f>
        <v>0</v>
      </c>
      <c r="AK578" t="str">
        <f t="shared" ref="AK578:AK641" si="18">IF(A578&lt;30,"Young",
IF(A578&lt;40,"Mid Career",
IF(A578&lt;50,"Experienced","Senior")))</f>
        <v>Young</v>
      </c>
      <c r="AL578" t="str">
        <f t="shared" ref="AL578:AL641" si="19">IF(S578&lt;3000,"Low Income",IF(S578&lt;7000,"Medium Income","High Income"))</f>
        <v>Medium Income</v>
      </c>
    </row>
    <row r="579" spans="1:38"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IF(Table1[[#This Row],[Attrition]]="Yes",1,0)</f>
        <v>0</v>
      </c>
      <c r="AK579" t="str">
        <f t="shared" si="18"/>
        <v>Mid Career</v>
      </c>
      <c r="AL579" t="str">
        <f t="shared" si="19"/>
        <v>Low Income</v>
      </c>
    </row>
    <row r="580" spans="1:38"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IF(Table1[[#This Row],[Attrition]]="Yes",1,0)</f>
        <v>0</v>
      </c>
      <c r="AK580" t="str">
        <f t="shared" si="18"/>
        <v>Mid Career</v>
      </c>
      <c r="AL580" t="str">
        <f t="shared" si="19"/>
        <v>Medium Income</v>
      </c>
    </row>
    <row r="581" spans="1:38"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IF(Table1[[#This Row],[Attrition]]="Yes",1,0)</f>
        <v>0</v>
      </c>
      <c r="AK581" t="str">
        <f t="shared" si="18"/>
        <v>Mid Career</v>
      </c>
      <c r="AL581" t="str">
        <f t="shared" si="19"/>
        <v>Medium Income</v>
      </c>
    </row>
    <row r="582" spans="1:38"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IF(Table1[[#This Row],[Attrition]]="Yes",1,0)</f>
        <v>0</v>
      </c>
      <c r="AK582" t="str">
        <f t="shared" si="18"/>
        <v>Mid Career</v>
      </c>
      <c r="AL582" t="str">
        <f t="shared" si="19"/>
        <v>Low Income</v>
      </c>
    </row>
    <row r="583" spans="1:38"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IF(Table1[[#This Row],[Attrition]]="Yes",1,0)</f>
        <v>0</v>
      </c>
      <c r="AK583" t="str">
        <f t="shared" si="18"/>
        <v>Mid Career</v>
      </c>
      <c r="AL583" t="str">
        <f t="shared" si="19"/>
        <v>Medium Income</v>
      </c>
    </row>
    <row r="584" spans="1:38"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IF(Table1[[#This Row],[Attrition]]="Yes",1,0)</f>
        <v>0</v>
      </c>
      <c r="AK584" t="str">
        <f t="shared" si="18"/>
        <v>Experienced</v>
      </c>
      <c r="AL584" t="str">
        <f t="shared" si="19"/>
        <v>Medium Income</v>
      </c>
    </row>
    <row r="585" spans="1:38"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IF(Table1[[#This Row],[Attrition]]="Yes",1,0)</f>
        <v>0</v>
      </c>
      <c r="AK585" t="str">
        <f t="shared" si="18"/>
        <v>Mid Career</v>
      </c>
      <c r="AL585" t="str">
        <f t="shared" si="19"/>
        <v>Medium Income</v>
      </c>
    </row>
    <row r="586" spans="1:38"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IF(Table1[[#This Row],[Attrition]]="Yes",1,0)</f>
        <v>0</v>
      </c>
      <c r="AK586" t="str">
        <f t="shared" si="18"/>
        <v>Experienced</v>
      </c>
      <c r="AL586" t="str">
        <f t="shared" si="19"/>
        <v>High Income</v>
      </c>
    </row>
    <row r="587" spans="1:38"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IF(Table1[[#This Row],[Attrition]]="Yes",1,0)</f>
        <v>1</v>
      </c>
      <c r="AK587" t="str">
        <f t="shared" si="18"/>
        <v>Young</v>
      </c>
      <c r="AL587" t="str">
        <f t="shared" si="19"/>
        <v>Low Income</v>
      </c>
    </row>
    <row r="588" spans="1:38"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IF(Table1[[#This Row],[Attrition]]="Yes",1,0)</f>
        <v>0</v>
      </c>
      <c r="AK588" t="str">
        <f t="shared" si="18"/>
        <v>Young</v>
      </c>
      <c r="AL588" t="str">
        <f t="shared" si="19"/>
        <v>Low Income</v>
      </c>
    </row>
    <row r="589" spans="1:38"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IF(Table1[[#This Row],[Attrition]]="Yes",1,0)</f>
        <v>0</v>
      </c>
      <c r="AK589" t="str">
        <f t="shared" si="18"/>
        <v>Senior</v>
      </c>
      <c r="AL589" t="str">
        <f t="shared" si="19"/>
        <v>Medium Income</v>
      </c>
    </row>
    <row r="590" spans="1:38"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IF(Table1[[#This Row],[Attrition]]="Yes",1,0)</f>
        <v>0</v>
      </c>
      <c r="AK590" t="str">
        <f t="shared" si="18"/>
        <v>Senior</v>
      </c>
      <c r="AL590" t="str">
        <f t="shared" si="19"/>
        <v>High Income</v>
      </c>
    </row>
    <row r="591" spans="1:38"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IF(Table1[[#This Row],[Attrition]]="Yes",1,0)</f>
        <v>1</v>
      </c>
      <c r="AK591" t="str">
        <f t="shared" si="18"/>
        <v>Young</v>
      </c>
      <c r="AL591" t="str">
        <f t="shared" si="19"/>
        <v>Low Income</v>
      </c>
    </row>
    <row r="592" spans="1:38"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IF(Table1[[#This Row],[Attrition]]="Yes",1,0)</f>
        <v>0</v>
      </c>
      <c r="AK592" t="str">
        <f t="shared" si="18"/>
        <v>Mid Career</v>
      </c>
      <c r="AL592" t="str">
        <f t="shared" si="19"/>
        <v>High Income</v>
      </c>
    </row>
    <row r="593" spans="1:38"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IF(Table1[[#This Row],[Attrition]]="Yes",1,0)</f>
        <v>1</v>
      </c>
      <c r="AK593" t="str">
        <f t="shared" si="18"/>
        <v>Mid Career</v>
      </c>
      <c r="AL593" t="str">
        <f t="shared" si="19"/>
        <v>Medium Income</v>
      </c>
    </row>
    <row r="594" spans="1:38"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IF(Table1[[#This Row],[Attrition]]="Yes",1,0)</f>
        <v>0</v>
      </c>
      <c r="AK594" t="str">
        <f t="shared" si="18"/>
        <v>Experienced</v>
      </c>
      <c r="AL594" t="str">
        <f t="shared" si="19"/>
        <v>High Income</v>
      </c>
    </row>
    <row r="595" spans="1:38"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IF(Table1[[#This Row],[Attrition]]="Yes",1,0)</f>
        <v>0</v>
      </c>
      <c r="AK595" t="str">
        <f t="shared" si="18"/>
        <v>Mid Career</v>
      </c>
      <c r="AL595" t="str">
        <f t="shared" si="19"/>
        <v>Medium Income</v>
      </c>
    </row>
    <row r="596" spans="1:38"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IF(Table1[[#This Row],[Attrition]]="Yes",1,0)</f>
        <v>0</v>
      </c>
      <c r="AK596" t="str">
        <f t="shared" si="18"/>
        <v>Young</v>
      </c>
      <c r="AL596" t="str">
        <f t="shared" si="19"/>
        <v>Low Income</v>
      </c>
    </row>
    <row r="597" spans="1:38"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IF(Table1[[#This Row],[Attrition]]="Yes",1,0)</f>
        <v>1</v>
      </c>
      <c r="AK597" t="str">
        <f t="shared" si="18"/>
        <v>Senior</v>
      </c>
      <c r="AL597" t="str">
        <f t="shared" si="19"/>
        <v>High Income</v>
      </c>
    </row>
    <row r="598" spans="1:38"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IF(Table1[[#This Row],[Attrition]]="Yes",1,0)</f>
        <v>0</v>
      </c>
      <c r="AK598" t="str">
        <f t="shared" si="18"/>
        <v>Mid Career</v>
      </c>
      <c r="AL598" t="str">
        <f t="shared" si="19"/>
        <v>Low Income</v>
      </c>
    </row>
    <row r="599" spans="1:38"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IF(Table1[[#This Row],[Attrition]]="Yes",1,0)</f>
        <v>0</v>
      </c>
      <c r="AK599" t="str">
        <f t="shared" si="18"/>
        <v>Experienced</v>
      </c>
      <c r="AL599" t="str">
        <f t="shared" si="19"/>
        <v>Medium Income</v>
      </c>
    </row>
    <row r="600" spans="1:38"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IF(Table1[[#This Row],[Attrition]]="Yes",1,0)</f>
        <v>1</v>
      </c>
      <c r="AK600" t="str">
        <f t="shared" si="18"/>
        <v>Young</v>
      </c>
      <c r="AL600" t="str">
        <f t="shared" si="19"/>
        <v>Medium Income</v>
      </c>
    </row>
    <row r="601" spans="1:38"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IF(Table1[[#This Row],[Attrition]]="Yes",1,0)</f>
        <v>0</v>
      </c>
      <c r="AK601" t="str">
        <f t="shared" si="18"/>
        <v>Mid Career</v>
      </c>
      <c r="AL601" t="str">
        <f t="shared" si="19"/>
        <v>Low Income</v>
      </c>
    </row>
    <row r="602" spans="1:38"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IF(Table1[[#This Row],[Attrition]]="Yes",1,0)</f>
        <v>0</v>
      </c>
      <c r="AK602" t="str">
        <f t="shared" si="18"/>
        <v>Mid Career</v>
      </c>
      <c r="AL602" t="str">
        <f t="shared" si="19"/>
        <v>Medium Income</v>
      </c>
    </row>
    <row r="603" spans="1:38"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IF(Table1[[#This Row],[Attrition]]="Yes",1,0)</f>
        <v>0</v>
      </c>
      <c r="AK603" t="str">
        <f t="shared" si="18"/>
        <v>Experienced</v>
      </c>
      <c r="AL603" t="str">
        <f t="shared" si="19"/>
        <v>Medium Income</v>
      </c>
    </row>
    <row r="604" spans="1:38"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IF(Table1[[#This Row],[Attrition]]="Yes",1,0)</f>
        <v>0</v>
      </c>
      <c r="AK604" t="str">
        <f t="shared" si="18"/>
        <v>Mid Career</v>
      </c>
      <c r="AL604" t="str">
        <f t="shared" si="19"/>
        <v>Medium Income</v>
      </c>
    </row>
    <row r="605" spans="1:38"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IF(Table1[[#This Row],[Attrition]]="Yes",1,0)</f>
        <v>0</v>
      </c>
      <c r="AK605" t="str">
        <f t="shared" si="18"/>
        <v>Experienced</v>
      </c>
      <c r="AL605" t="str">
        <f t="shared" si="19"/>
        <v>Low Income</v>
      </c>
    </row>
    <row r="606" spans="1:38"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IF(Table1[[#This Row],[Attrition]]="Yes",1,0)</f>
        <v>0</v>
      </c>
      <c r="AK606" t="str">
        <f t="shared" si="18"/>
        <v>Experienced</v>
      </c>
      <c r="AL606" t="str">
        <f t="shared" si="19"/>
        <v>Medium Income</v>
      </c>
    </row>
    <row r="607" spans="1:38"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IF(Table1[[#This Row],[Attrition]]="Yes",1,0)</f>
        <v>0</v>
      </c>
      <c r="AK607" t="str">
        <f t="shared" si="18"/>
        <v>Mid Career</v>
      </c>
      <c r="AL607" t="str">
        <f t="shared" si="19"/>
        <v>Medium Income</v>
      </c>
    </row>
    <row r="608" spans="1:38"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IF(Table1[[#This Row],[Attrition]]="Yes",1,0)</f>
        <v>0</v>
      </c>
      <c r="AK608" t="str">
        <f t="shared" si="18"/>
        <v>Mid Career</v>
      </c>
      <c r="AL608" t="str">
        <f t="shared" si="19"/>
        <v>Low Income</v>
      </c>
    </row>
    <row r="609" spans="1:38"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IF(Table1[[#This Row],[Attrition]]="Yes",1,0)</f>
        <v>1</v>
      </c>
      <c r="AK609" t="str">
        <f t="shared" si="18"/>
        <v>Experienced</v>
      </c>
      <c r="AL609" t="str">
        <f t="shared" si="19"/>
        <v>High Income</v>
      </c>
    </row>
    <row r="610" spans="1:38"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IF(Table1[[#This Row],[Attrition]]="Yes",1,0)</f>
        <v>1</v>
      </c>
      <c r="AK610" t="str">
        <f t="shared" si="18"/>
        <v>Senior</v>
      </c>
      <c r="AL610" t="str">
        <f t="shared" si="19"/>
        <v>Medium Income</v>
      </c>
    </row>
    <row r="611" spans="1:38"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IF(Table1[[#This Row],[Attrition]]="Yes",1,0)</f>
        <v>0</v>
      </c>
      <c r="AK611" t="str">
        <f t="shared" si="18"/>
        <v>Experienced</v>
      </c>
      <c r="AL611" t="str">
        <f t="shared" si="19"/>
        <v>High Income</v>
      </c>
    </row>
    <row r="612" spans="1:38"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IF(Table1[[#This Row],[Attrition]]="Yes",1,0)</f>
        <v>0</v>
      </c>
      <c r="AK612" t="str">
        <f t="shared" si="18"/>
        <v>Young</v>
      </c>
      <c r="AL612" t="str">
        <f t="shared" si="19"/>
        <v>High Income</v>
      </c>
    </row>
    <row r="613" spans="1:38"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IF(Table1[[#This Row],[Attrition]]="Yes",1,0)</f>
        <v>0</v>
      </c>
      <c r="AK613" t="str">
        <f t="shared" si="18"/>
        <v>Mid Career</v>
      </c>
      <c r="AL613" t="str">
        <f t="shared" si="19"/>
        <v>High Income</v>
      </c>
    </row>
    <row r="614" spans="1:38"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IF(Table1[[#This Row],[Attrition]]="Yes",1,0)</f>
        <v>0</v>
      </c>
      <c r="AK614" t="str">
        <f t="shared" si="18"/>
        <v>Young</v>
      </c>
      <c r="AL614" t="str">
        <f t="shared" si="19"/>
        <v>Medium Income</v>
      </c>
    </row>
    <row r="615" spans="1:38"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IF(Table1[[#This Row],[Attrition]]="Yes",1,0)</f>
        <v>0</v>
      </c>
      <c r="AK615" t="str">
        <f t="shared" si="18"/>
        <v>Mid Career</v>
      </c>
      <c r="AL615" t="str">
        <f t="shared" si="19"/>
        <v>Medium Income</v>
      </c>
    </row>
    <row r="616" spans="1:38"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IF(Table1[[#This Row],[Attrition]]="Yes",1,0)</f>
        <v>1</v>
      </c>
      <c r="AK616" t="str">
        <f t="shared" si="18"/>
        <v>Young</v>
      </c>
      <c r="AL616" t="str">
        <f t="shared" si="19"/>
        <v>Low Income</v>
      </c>
    </row>
    <row r="617" spans="1:38"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IF(Table1[[#This Row],[Attrition]]="Yes",1,0)</f>
        <v>0</v>
      </c>
      <c r="AK617" t="str">
        <f t="shared" si="18"/>
        <v>Young</v>
      </c>
      <c r="AL617" t="str">
        <f t="shared" si="19"/>
        <v>Low Income</v>
      </c>
    </row>
    <row r="618" spans="1:38"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IF(Table1[[#This Row],[Attrition]]="Yes",1,0)</f>
        <v>0</v>
      </c>
      <c r="AK618" t="str">
        <f t="shared" si="18"/>
        <v>Senior</v>
      </c>
      <c r="AL618" t="str">
        <f t="shared" si="19"/>
        <v>High Income</v>
      </c>
    </row>
    <row r="619" spans="1:38"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IF(Table1[[#This Row],[Attrition]]="Yes",1,0)</f>
        <v>0</v>
      </c>
      <c r="AK619" t="str">
        <f t="shared" si="18"/>
        <v>Experienced</v>
      </c>
      <c r="AL619" t="str">
        <f t="shared" si="19"/>
        <v>Medium Income</v>
      </c>
    </row>
    <row r="620" spans="1:38"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IF(Table1[[#This Row],[Attrition]]="Yes",1,0)</f>
        <v>0</v>
      </c>
      <c r="AK620" t="str">
        <f t="shared" si="18"/>
        <v>Young</v>
      </c>
      <c r="AL620" t="str">
        <f t="shared" si="19"/>
        <v>Medium Income</v>
      </c>
    </row>
    <row r="621" spans="1:38"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IF(Table1[[#This Row],[Attrition]]="Yes",1,0)</f>
        <v>0</v>
      </c>
      <c r="AK621" t="str">
        <f t="shared" si="18"/>
        <v>Mid Career</v>
      </c>
      <c r="AL621" t="str">
        <f t="shared" si="19"/>
        <v>Medium Income</v>
      </c>
    </row>
    <row r="622" spans="1:38"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IF(Table1[[#This Row],[Attrition]]="Yes",1,0)</f>
        <v>0</v>
      </c>
      <c r="AK622" t="str">
        <f t="shared" si="18"/>
        <v>Mid Career</v>
      </c>
      <c r="AL622" t="str">
        <f t="shared" si="19"/>
        <v>Low Income</v>
      </c>
    </row>
    <row r="623" spans="1:38"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IF(Table1[[#This Row],[Attrition]]="Yes",1,0)</f>
        <v>0</v>
      </c>
      <c r="AK623" t="str">
        <f t="shared" si="18"/>
        <v>Mid Career</v>
      </c>
      <c r="AL623" t="str">
        <f t="shared" si="19"/>
        <v>Medium Income</v>
      </c>
    </row>
    <row r="624" spans="1:38"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IF(Table1[[#This Row],[Attrition]]="Yes",1,0)</f>
        <v>0</v>
      </c>
      <c r="AK624" t="str">
        <f t="shared" si="18"/>
        <v>Mid Career</v>
      </c>
      <c r="AL624" t="str">
        <f t="shared" si="19"/>
        <v>Medium Income</v>
      </c>
    </row>
    <row r="625" spans="1:38"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IF(Table1[[#This Row],[Attrition]]="Yes",1,0)</f>
        <v>0</v>
      </c>
      <c r="AK625" t="str">
        <f t="shared" si="18"/>
        <v>Mid Career</v>
      </c>
      <c r="AL625" t="str">
        <f t="shared" si="19"/>
        <v>Medium Income</v>
      </c>
    </row>
    <row r="626" spans="1:38"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IF(Table1[[#This Row],[Attrition]]="Yes",1,0)</f>
        <v>0</v>
      </c>
      <c r="AK626" t="str">
        <f t="shared" si="18"/>
        <v>Senior</v>
      </c>
      <c r="AL626" t="str">
        <f t="shared" si="19"/>
        <v>High Income</v>
      </c>
    </row>
    <row r="627" spans="1:38"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IF(Table1[[#This Row],[Attrition]]="Yes",1,0)</f>
        <v>0</v>
      </c>
      <c r="AK627" t="str">
        <f t="shared" si="18"/>
        <v>Experienced</v>
      </c>
      <c r="AL627" t="str">
        <f t="shared" si="19"/>
        <v>High Income</v>
      </c>
    </row>
    <row r="628" spans="1:38"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IF(Table1[[#This Row],[Attrition]]="Yes",1,0)</f>
        <v>0</v>
      </c>
      <c r="AK628" t="str">
        <f t="shared" si="18"/>
        <v>Mid Career</v>
      </c>
      <c r="AL628" t="str">
        <f t="shared" si="19"/>
        <v>Medium Income</v>
      </c>
    </row>
    <row r="629" spans="1:38"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IF(Table1[[#This Row],[Attrition]]="Yes",1,0)</f>
        <v>0</v>
      </c>
      <c r="AK629" t="str">
        <f t="shared" si="18"/>
        <v>Senior</v>
      </c>
      <c r="AL629" t="str">
        <f t="shared" si="19"/>
        <v>High Income</v>
      </c>
    </row>
    <row r="630" spans="1:38"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IF(Table1[[#This Row],[Attrition]]="Yes",1,0)</f>
        <v>0</v>
      </c>
      <c r="AK630" t="str">
        <f t="shared" si="18"/>
        <v>Mid Career</v>
      </c>
      <c r="AL630" t="str">
        <f t="shared" si="19"/>
        <v>Medium Income</v>
      </c>
    </row>
    <row r="631" spans="1:38"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IF(Table1[[#This Row],[Attrition]]="Yes",1,0)</f>
        <v>0</v>
      </c>
      <c r="AK631" t="str">
        <f t="shared" si="18"/>
        <v>Young</v>
      </c>
      <c r="AL631" t="str">
        <f t="shared" si="19"/>
        <v>Medium Income</v>
      </c>
    </row>
    <row r="632" spans="1:38"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IF(Table1[[#This Row],[Attrition]]="Yes",1,0)</f>
        <v>0</v>
      </c>
      <c r="AK632" t="str">
        <f t="shared" si="18"/>
        <v>Young</v>
      </c>
      <c r="AL632" t="str">
        <f t="shared" si="19"/>
        <v>Medium Income</v>
      </c>
    </row>
    <row r="633" spans="1:38"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IF(Table1[[#This Row],[Attrition]]="Yes",1,0)</f>
        <v>0</v>
      </c>
      <c r="AK633" t="str">
        <f t="shared" si="18"/>
        <v>Experienced</v>
      </c>
      <c r="AL633" t="str">
        <f t="shared" si="19"/>
        <v>Low Income</v>
      </c>
    </row>
    <row r="634" spans="1:38"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IF(Table1[[#This Row],[Attrition]]="Yes",1,0)</f>
        <v>0</v>
      </c>
      <c r="AK634" t="str">
        <f t="shared" si="18"/>
        <v>Experienced</v>
      </c>
      <c r="AL634" t="str">
        <f t="shared" si="19"/>
        <v>Low Income</v>
      </c>
    </row>
    <row r="635" spans="1:38"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IF(Table1[[#This Row],[Attrition]]="Yes",1,0)</f>
        <v>0</v>
      </c>
      <c r="AK635" t="str">
        <f t="shared" si="18"/>
        <v>Mid Career</v>
      </c>
      <c r="AL635" t="str">
        <f t="shared" si="19"/>
        <v>Low Income</v>
      </c>
    </row>
    <row r="636" spans="1:38"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IF(Table1[[#This Row],[Attrition]]="Yes",1,0)</f>
        <v>0</v>
      </c>
      <c r="AK636" t="str">
        <f t="shared" si="18"/>
        <v>Young</v>
      </c>
      <c r="AL636" t="str">
        <f t="shared" si="19"/>
        <v>Medium Income</v>
      </c>
    </row>
    <row r="637" spans="1:38"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IF(Table1[[#This Row],[Attrition]]="Yes",1,0)</f>
        <v>0</v>
      </c>
      <c r="AK637" t="str">
        <f t="shared" si="18"/>
        <v>Mid Career</v>
      </c>
      <c r="AL637" t="str">
        <f t="shared" si="19"/>
        <v>High Income</v>
      </c>
    </row>
    <row r="638" spans="1:38"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IF(Table1[[#This Row],[Attrition]]="Yes",1,0)</f>
        <v>1</v>
      </c>
      <c r="AK638" t="str">
        <f t="shared" si="18"/>
        <v>Mid Career</v>
      </c>
      <c r="AL638" t="str">
        <f t="shared" si="19"/>
        <v>Low Income</v>
      </c>
    </row>
    <row r="639" spans="1:38"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IF(Table1[[#This Row],[Attrition]]="Yes",1,0)</f>
        <v>0</v>
      </c>
      <c r="AK639" t="str">
        <f t="shared" si="18"/>
        <v>Mid Career</v>
      </c>
      <c r="AL639" t="str">
        <f t="shared" si="19"/>
        <v>Low Income</v>
      </c>
    </row>
    <row r="640" spans="1:38"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IF(Table1[[#This Row],[Attrition]]="Yes",1,0)</f>
        <v>0</v>
      </c>
      <c r="AK640" t="str">
        <f t="shared" si="18"/>
        <v>Young</v>
      </c>
      <c r="AL640" t="str">
        <f t="shared" si="19"/>
        <v>Medium Income</v>
      </c>
    </row>
    <row r="641" spans="1:38"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IF(Table1[[#This Row],[Attrition]]="Yes",1,0)</f>
        <v>0</v>
      </c>
      <c r="AK641" t="str">
        <f t="shared" si="18"/>
        <v>Experienced</v>
      </c>
      <c r="AL641" t="str">
        <f t="shared" si="19"/>
        <v>Medium Income</v>
      </c>
    </row>
    <row r="642" spans="1:38"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IF(Table1[[#This Row],[Attrition]]="Yes",1,0)</f>
        <v>0</v>
      </c>
      <c r="AK642" t="str">
        <f t="shared" ref="AK642:AK705" si="20">IF(A642&lt;30,"Young",
IF(A642&lt;40,"Mid Career",
IF(A642&lt;50,"Experienced","Senior")))</f>
        <v>Young</v>
      </c>
      <c r="AL642" t="str">
        <f t="shared" ref="AL642:AL705" si="21">IF(S642&lt;3000,"Low Income",IF(S642&lt;7000,"Medium Income","High Income"))</f>
        <v>Medium Income</v>
      </c>
    </row>
    <row r="643" spans="1:38"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IF(Table1[[#This Row],[Attrition]]="Yes",1,0)</f>
        <v>0</v>
      </c>
      <c r="AK643" t="str">
        <f t="shared" si="20"/>
        <v>Mid Career</v>
      </c>
      <c r="AL643" t="str">
        <f t="shared" si="21"/>
        <v>Medium Income</v>
      </c>
    </row>
    <row r="644" spans="1:38"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IF(Table1[[#This Row],[Attrition]]="Yes",1,0)</f>
        <v>0</v>
      </c>
      <c r="AK644" t="str">
        <f t="shared" si="20"/>
        <v>Mid Career</v>
      </c>
      <c r="AL644" t="str">
        <f t="shared" si="21"/>
        <v>Low Income</v>
      </c>
    </row>
    <row r="645" spans="1:38"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IF(Table1[[#This Row],[Attrition]]="Yes",1,0)</f>
        <v>0</v>
      </c>
      <c r="AK645" t="str">
        <f t="shared" si="20"/>
        <v>Experienced</v>
      </c>
      <c r="AL645" t="str">
        <f t="shared" si="21"/>
        <v>Medium Income</v>
      </c>
    </row>
    <row r="646" spans="1:38"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IF(Table1[[#This Row],[Attrition]]="Yes",1,0)</f>
        <v>0</v>
      </c>
      <c r="AK646" t="str">
        <f t="shared" si="20"/>
        <v>Mid Career</v>
      </c>
      <c r="AL646" t="str">
        <f t="shared" si="21"/>
        <v>Low Income</v>
      </c>
    </row>
    <row r="647" spans="1:38"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IF(Table1[[#This Row],[Attrition]]="Yes",1,0)</f>
        <v>1</v>
      </c>
      <c r="AK647" t="str">
        <f t="shared" si="20"/>
        <v>Young</v>
      </c>
      <c r="AL647" t="str">
        <f t="shared" si="21"/>
        <v>Low Income</v>
      </c>
    </row>
    <row r="648" spans="1:38"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IF(Table1[[#This Row],[Attrition]]="Yes",1,0)</f>
        <v>0</v>
      </c>
      <c r="AK648" t="str">
        <f t="shared" si="20"/>
        <v>Senior</v>
      </c>
      <c r="AL648" t="str">
        <f t="shared" si="21"/>
        <v>High Income</v>
      </c>
    </row>
    <row r="649" spans="1:38"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IF(Table1[[#This Row],[Attrition]]="Yes",1,0)</f>
        <v>0</v>
      </c>
      <c r="AK649" t="str">
        <f t="shared" si="20"/>
        <v>Mid Career</v>
      </c>
      <c r="AL649" t="str">
        <f t="shared" si="21"/>
        <v>High Income</v>
      </c>
    </row>
    <row r="650" spans="1:38"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IF(Table1[[#This Row],[Attrition]]="Yes",1,0)</f>
        <v>0</v>
      </c>
      <c r="AK650" t="str">
        <f t="shared" si="20"/>
        <v>Mid Career</v>
      </c>
      <c r="AL650" t="str">
        <f t="shared" si="21"/>
        <v>Low Income</v>
      </c>
    </row>
    <row r="651" spans="1:38"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IF(Table1[[#This Row],[Attrition]]="Yes",1,0)</f>
        <v>0</v>
      </c>
      <c r="AK651" t="str">
        <f t="shared" si="20"/>
        <v>Senior</v>
      </c>
      <c r="AL651" t="str">
        <f t="shared" si="21"/>
        <v>High Income</v>
      </c>
    </row>
    <row r="652" spans="1:38"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IF(Table1[[#This Row],[Attrition]]="Yes",1,0)</f>
        <v>0</v>
      </c>
      <c r="AK652" t="str">
        <f t="shared" si="20"/>
        <v>Experienced</v>
      </c>
      <c r="AL652" t="str">
        <f t="shared" si="21"/>
        <v>Medium Income</v>
      </c>
    </row>
    <row r="653" spans="1:38"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IF(Table1[[#This Row],[Attrition]]="Yes",1,0)</f>
        <v>0</v>
      </c>
      <c r="AK653" t="str">
        <f t="shared" si="20"/>
        <v>Experienced</v>
      </c>
      <c r="AL653" t="str">
        <f t="shared" si="21"/>
        <v>Medium Income</v>
      </c>
    </row>
    <row r="654" spans="1:38"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IF(Table1[[#This Row],[Attrition]]="Yes",1,0)</f>
        <v>0</v>
      </c>
      <c r="AK654" t="str">
        <f t="shared" si="20"/>
        <v>Mid Career</v>
      </c>
      <c r="AL654" t="str">
        <f t="shared" si="21"/>
        <v>High Income</v>
      </c>
    </row>
    <row r="655" spans="1:38"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IF(Table1[[#This Row],[Attrition]]="Yes",1,0)</f>
        <v>0</v>
      </c>
      <c r="AK655" t="str">
        <f t="shared" si="20"/>
        <v>Senior</v>
      </c>
      <c r="AL655" t="str">
        <f t="shared" si="21"/>
        <v>High Income</v>
      </c>
    </row>
    <row r="656" spans="1:38"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IF(Table1[[#This Row],[Attrition]]="Yes",1,0)</f>
        <v>0</v>
      </c>
      <c r="AK656" t="str">
        <f t="shared" si="20"/>
        <v>Mid Career</v>
      </c>
      <c r="AL656" t="str">
        <f t="shared" si="21"/>
        <v>Medium Income</v>
      </c>
    </row>
    <row r="657" spans="1:38"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IF(Table1[[#This Row],[Attrition]]="Yes",1,0)</f>
        <v>0</v>
      </c>
      <c r="AK657" t="str">
        <f t="shared" si="20"/>
        <v>Mid Career</v>
      </c>
      <c r="AL657" t="str">
        <f t="shared" si="21"/>
        <v>Low Income</v>
      </c>
    </row>
    <row r="658" spans="1:38"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IF(Table1[[#This Row],[Attrition]]="Yes",1,0)</f>
        <v>1</v>
      </c>
      <c r="AK658" t="str">
        <f t="shared" si="20"/>
        <v>Mid Career</v>
      </c>
      <c r="AL658" t="str">
        <f t="shared" si="21"/>
        <v>Low Income</v>
      </c>
    </row>
    <row r="659" spans="1:38"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IF(Table1[[#This Row],[Attrition]]="Yes",1,0)</f>
        <v>0</v>
      </c>
      <c r="AK659" t="str">
        <f t="shared" si="20"/>
        <v>Young</v>
      </c>
      <c r="AL659" t="str">
        <f t="shared" si="21"/>
        <v>Low Income</v>
      </c>
    </row>
    <row r="660" spans="1:38"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IF(Table1[[#This Row],[Attrition]]="Yes",1,0)</f>
        <v>0</v>
      </c>
      <c r="AK660" t="str">
        <f t="shared" si="20"/>
        <v>Experienced</v>
      </c>
      <c r="AL660" t="str">
        <f t="shared" si="21"/>
        <v>Low Income</v>
      </c>
    </row>
    <row r="661" spans="1:38"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IF(Table1[[#This Row],[Attrition]]="Yes",1,0)</f>
        <v>0</v>
      </c>
      <c r="AK661" t="str">
        <f t="shared" si="20"/>
        <v>Young</v>
      </c>
      <c r="AL661" t="str">
        <f t="shared" si="21"/>
        <v>Medium Income</v>
      </c>
    </row>
    <row r="662" spans="1:38"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IF(Table1[[#This Row],[Attrition]]="Yes",1,0)</f>
        <v>1</v>
      </c>
      <c r="AK662" t="str">
        <f t="shared" si="20"/>
        <v>Senior</v>
      </c>
      <c r="AL662" t="str">
        <f t="shared" si="21"/>
        <v>Low Income</v>
      </c>
    </row>
    <row r="663" spans="1:38"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IF(Table1[[#This Row],[Attrition]]="Yes",1,0)</f>
        <v>0</v>
      </c>
      <c r="AK663" t="str">
        <f t="shared" si="20"/>
        <v>Experienced</v>
      </c>
      <c r="AL663" t="str">
        <f t="shared" si="21"/>
        <v>Medium Income</v>
      </c>
    </row>
    <row r="664" spans="1:38"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IF(Table1[[#This Row],[Attrition]]="Yes",1,0)</f>
        <v>1</v>
      </c>
      <c r="AK664" t="str">
        <f t="shared" si="20"/>
        <v>Young</v>
      </c>
      <c r="AL664" t="str">
        <f t="shared" si="21"/>
        <v>Low Income</v>
      </c>
    </row>
    <row r="665" spans="1:38"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IF(Table1[[#This Row],[Attrition]]="Yes",1,0)</f>
        <v>1</v>
      </c>
      <c r="AK665" t="str">
        <f t="shared" si="20"/>
        <v>Young</v>
      </c>
      <c r="AL665" t="str">
        <f t="shared" si="21"/>
        <v>Low Income</v>
      </c>
    </row>
    <row r="666" spans="1:38"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IF(Table1[[#This Row],[Attrition]]="Yes",1,0)</f>
        <v>0</v>
      </c>
      <c r="AK666" t="str">
        <f t="shared" si="20"/>
        <v>Mid Career</v>
      </c>
      <c r="AL666" t="str">
        <f t="shared" si="21"/>
        <v>Medium Income</v>
      </c>
    </row>
    <row r="667" spans="1:38"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IF(Table1[[#This Row],[Attrition]]="Yes",1,0)</f>
        <v>0</v>
      </c>
      <c r="AK667" t="str">
        <f t="shared" si="20"/>
        <v>Experienced</v>
      </c>
      <c r="AL667" t="str">
        <f t="shared" si="21"/>
        <v>Medium Income</v>
      </c>
    </row>
    <row r="668" spans="1:38"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IF(Table1[[#This Row],[Attrition]]="Yes",1,0)</f>
        <v>1</v>
      </c>
      <c r="AK668" t="str">
        <f t="shared" si="20"/>
        <v>Young</v>
      </c>
      <c r="AL668" t="str">
        <f t="shared" si="21"/>
        <v>Medium Income</v>
      </c>
    </row>
    <row r="669" spans="1:38"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IF(Table1[[#This Row],[Attrition]]="Yes",1,0)</f>
        <v>1</v>
      </c>
      <c r="AK669" t="str">
        <f t="shared" si="20"/>
        <v>Experienced</v>
      </c>
      <c r="AL669" t="str">
        <f t="shared" si="21"/>
        <v>Low Income</v>
      </c>
    </row>
    <row r="670" spans="1:38"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IF(Table1[[#This Row],[Attrition]]="Yes",1,0)</f>
        <v>0</v>
      </c>
      <c r="AK670" t="str">
        <f t="shared" si="20"/>
        <v>Young</v>
      </c>
      <c r="AL670" t="str">
        <f t="shared" si="21"/>
        <v>Low Income</v>
      </c>
    </row>
    <row r="671" spans="1:38"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IF(Table1[[#This Row],[Attrition]]="Yes",1,0)</f>
        <v>1</v>
      </c>
      <c r="AK671" t="str">
        <f t="shared" si="20"/>
        <v>Mid Career</v>
      </c>
      <c r="AL671" t="str">
        <f t="shared" si="21"/>
        <v>Low Income</v>
      </c>
    </row>
    <row r="672" spans="1:38"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IF(Table1[[#This Row],[Attrition]]="Yes",1,0)</f>
        <v>0</v>
      </c>
      <c r="AK672" t="str">
        <f t="shared" si="20"/>
        <v>Young</v>
      </c>
      <c r="AL672" t="str">
        <f t="shared" si="21"/>
        <v>Low Income</v>
      </c>
    </row>
    <row r="673" spans="1:38"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IF(Table1[[#This Row],[Attrition]]="Yes",1,0)</f>
        <v>0</v>
      </c>
      <c r="AK673" t="str">
        <f t="shared" si="20"/>
        <v>Mid Career</v>
      </c>
      <c r="AL673" t="str">
        <f t="shared" si="21"/>
        <v>Low Income</v>
      </c>
    </row>
    <row r="674" spans="1:38"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IF(Table1[[#This Row],[Attrition]]="Yes",1,0)</f>
        <v>0</v>
      </c>
      <c r="AK674" t="str">
        <f t="shared" si="20"/>
        <v>Experienced</v>
      </c>
      <c r="AL674" t="str">
        <f t="shared" si="21"/>
        <v>Medium Income</v>
      </c>
    </row>
    <row r="675" spans="1:38"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IF(Table1[[#This Row],[Attrition]]="Yes",1,0)</f>
        <v>0</v>
      </c>
      <c r="AK675" t="str">
        <f t="shared" si="20"/>
        <v>Mid Career</v>
      </c>
      <c r="AL675" t="str">
        <f t="shared" si="21"/>
        <v>Low Income</v>
      </c>
    </row>
    <row r="676" spans="1:38"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IF(Table1[[#This Row],[Attrition]]="Yes",1,0)</f>
        <v>0</v>
      </c>
      <c r="AK676" t="str">
        <f t="shared" si="20"/>
        <v>Senior</v>
      </c>
      <c r="AL676" t="str">
        <f t="shared" si="21"/>
        <v>High Income</v>
      </c>
    </row>
    <row r="677" spans="1:38"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IF(Table1[[#This Row],[Attrition]]="Yes",1,0)</f>
        <v>0</v>
      </c>
      <c r="AK677" t="str">
        <f t="shared" si="20"/>
        <v>Mid Career</v>
      </c>
      <c r="AL677" t="str">
        <f t="shared" si="21"/>
        <v>Low Income</v>
      </c>
    </row>
    <row r="678" spans="1:38"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IF(Table1[[#This Row],[Attrition]]="Yes",1,0)</f>
        <v>0</v>
      </c>
      <c r="AK678" t="str">
        <f t="shared" si="20"/>
        <v>Mid Career</v>
      </c>
      <c r="AL678" t="str">
        <f t="shared" si="21"/>
        <v>Medium Income</v>
      </c>
    </row>
    <row r="679" spans="1:38"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IF(Table1[[#This Row],[Attrition]]="Yes",1,0)</f>
        <v>0</v>
      </c>
      <c r="AK679" t="str">
        <f t="shared" si="20"/>
        <v>Experienced</v>
      </c>
      <c r="AL679" t="str">
        <f t="shared" si="21"/>
        <v>High Income</v>
      </c>
    </row>
    <row r="680" spans="1:38"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IF(Table1[[#This Row],[Attrition]]="Yes",1,0)</f>
        <v>0</v>
      </c>
      <c r="AK680" t="str">
        <f t="shared" si="20"/>
        <v>Experienced</v>
      </c>
      <c r="AL680" t="str">
        <f t="shared" si="21"/>
        <v>Low Income</v>
      </c>
    </row>
    <row r="681" spans="1:38"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IF(Table1[[#This Row],[Attrition]]="Yes",1,0)</f>
        <v>0</v>
      </c>
      <c r="AK681" t="str">
        <f t="shared" si="20"/>
        <v>Mid Career</v>
      </c>
      <c r="AL681" t="str">
        <f t="shared" si="21"/>
        <v>Medium Income</v>
      </c>
    </row>
    <row r="682" spans="1:38"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IF(Table1[[#This Row],[Attrition]]="Yes",1,0)</f>
        <v>0</v>
      </c>
      <c r="AK682" t="str">
        <f t="shared" si="20"/>
        <v>Mid Career</v>
      </c>
      <c r="AL682" t="str">
        <f t="shared" si="21"/>
        <v>Medium Income</v>
      </c>
    </row>
    <row r="683" spans="1:38"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IF(Table1[[#This Row],[Attrition]]="Yes",1,0)</f>
        <v>0</v>
      </c>
      <c r="AK683" t="str">
        <f t="shared" si="20"/>
        <v>Mid Career</v>
      </c>
      <c r="AL683" t="str">
        <f t="shared" si="21"/>
        <v>High Income</v>
      </c>
    </row>
    <row r="684" spans="1:38"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IF(Table1[[#This Row],[Attrition]]="Yes",1,0)</f>
        <v>0</v>
      </c>
      <c r="AK684" t="str">
        <f t="shared" si="20"/>
        <v>Mid Career</v>
      </c>
      <c r="AL684" t="str">
        <f t="shared" si="21"/>
        <v>Low Income</v>
      </c>
    </row>
    <row r="685" spans="1:38"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IF(Table1[[#This Row],[Attrition]]="Yes",1,0)</f>
        <v>1</v>
      </c>
      <c r="AK685" t="str">
        <f t="shared" si="20"/>
        <v>Young</v>
      </c>
      <c r="AL685" t="str">
        <f t="shared" si="21"/>
        <v>Low Income</v>
      </c>
    </row>
    <row r="686" spans="1:38"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IF(Table1[[#This Row],[Attrition]]="Yes",1,0)</f>
        <v>0</v>
      </c>
      <c r="AK686" t="str">
        <f t="shared" si="20"/>
        <v>Experienced</v>
      </c>
      <c r="AL686" t="str">
        <f t="shared" si="21"/>
        <v>High Income</v>
      </c>
    </row>
    <row r="687" spans="1:38"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IF(Table1[[#This Row],[Attrition]]="Yes",1,0)</f>
        <v>0</v>
      </c>
      <c r="AK687" t="str">
        <f t="shared" si="20"/>
        <v>Young</v>
      </c>
      <c r="AL687" t="str">
        <f t="shared" si="21"/>
        <v>Medium Income</v>
      </c>
    </row>
    <row r="688" spans="1:38"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IF(Table1[[#This Row],[Attrition]]="Yes",1,0)</f>
        <v>0</v>
      </c>
      <c r="AK688" t="str">
        <f t="shared" si="20"/>
        <v>Experienced</v>
      </c>
      <c r="AL688" t="str">
        <f t="shared" si="21"/>
        <v>Medium Income</v>
      </c>
    </row>
    <row r="689" spans="1:38"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IF(Table1[[#This Row],[Attrition]]="Yes",1,0)</f>
        <v>0</v>
      </c>
      <c r="AK689" t="str">
        <f t="shared" si="20"/>
        <v>Mid Career</v>
      </c>
      <c r="AL689" t="str">
        <f t="shared" si="21"/>
        <v>Low Income</v>
      </c>
    </row>
    <row r="690" spans="1:38"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IF(Table1[[#This Row],[Attrition]]="Yes",1,0)</f>
        <v>1</v>
      </c>
      <c r="AK690" t="str">
        <f t="shared" si="20"/>
        <v>Young</v>
      </c>
      <c r="AL690" t="str">
        <f t="shared" si="21"/>
        <v>Low Income</v>
      </c>
    </row>
    <row r="691" spans="1:38"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IF(Table1[[#This Row],[Attrition]]="Yes",1,0)</f>
        <v>1</v>
      </c>
      <c r="AK691" t="str">
        <f t="shared" si="20"/>
        <v>Young</v>
      </c>
      <c r="AL691" t="str">
        <f t="shared" si="21"/>
        <v>Low Income</v>
      </c>
    </row>
    <row r="692" spans="1:38"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IF(Table1[[#This Row],[Attrition]]="Yes",1,0)</f>
        <v>0</v>
      </c>
      <c r="AK692" t="str">
        <f t="shared" si="20"/>
        <v>Mid Career</v>
      </c>
      <c r="AL692" t="str">
        <f t="shared" si="21"/>
        <v>Medium Income</v>
      </c>
    </row>
    <row r="693" spans="1:38"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IF(Table1[[#This Row],[Attrition]]="Yes",1,0)</f>
        <v>0</v>
      </c>
      <c r="AK693" t="str">
        <f t="shared" si="20"/>
        <v>Experienced</v>
      </c>
      <c r="AL693" t="str">
        <f t="shared" si="21"/>
        <v>Medium Income</v>
      </c>
    </row>
    <row r="694" spans="1:38"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IF(Table1[[#This Row],[Attrition]]="Yes",1,0)</f>
        <v>0</v>
      </c>
      <c r="AK694" t="str">
        <f t="shared" si="20"/>
        <v>Mid Career</v>
      </c>
      <c r="AL694" t="str">
        <f t="shared" si="21"/>
        <v>Medium Income</v>
      </c>
    </row>
    <row r="695" spans="1:38"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IF(Table1[[#This Row],[Attrition]]="Yes",1,0)</f>
        <v>1</v>
      </c>
      <c r="AK695" t="str">
        <f t="shared" si="20"/>
        <v>Mid Career</v>
      </c>
      <c r="AL695" t="str">
        <f t="shared" si="21"/>
        <v>High Income</v>
      </c>
    </row>
    <row r="696" spans="1:38"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IF(Table1[[#This Row],[Attrition]]="Yes",1,0)</f>
        <v>0</v>
      </c>
      <c r="AK696" t="str">
        <f t="shared" si="20"/>
        <v>Mid Career</v>
      </c>
      <c r="AL696" t="str">
        <f t="shared" si="21"/>
        <v>Medium Income</v>
      </c>
    </row>
    <row r="697" spans="1:38"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IF(Table1[[#This Row],[Attrition]]="Yes",1,0)</f>
        <v>1</v>
      </c>
      <c r="AK697" t="str">
        <f t="shared" si="20"/>
        <v>Mid Career</v>
      </c>
      <c r="AL697" t="str">
        <f t="shared" si="21"/>
        <v>High Income</v>
      </c>
    </row>
    <row r="698" spans="1:38"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IF(Table1[[#This Row],[Attrition]]="Yes",1,0)</f>
        <v>0</v>
      </c>
      <c r="AK698" t="str">
        <f t="shared" si="20"/>
        <v>Experienced</v>
      </c>
      <c r="AL698" t="str">
        <f t="shared" si="21"/>
        <v>Medium Income</v>
      </c>
    </row>
    <row r="699" spans="1:38"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IF(Table1[[#This Row],[Attrition]]="Yes",1,0)</f>
        <v>0</v>
      </c>
      <c r="AK699" t="str">
        <f t="shared" si="20"/>
        <v>Young</v>
      </c>
      <c r="AL699" t="str">
        <f t="shared" si="21"/>
        <v>Low Income</v>
      </c>
    </row>
    <row r="700" spans="1:38"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IF(Table1[[#This Row],[Attrition]]="Yes",1,0)</f>
        <v>0</v>
      </c>
      <c r="AK700" t="str">
        <f t="shared" si="20"/>
        <v>Mid Career</v>
      </c>
      <c r="AL700" t="str">
        <f t="shared" si="21"/>
        <v>Medium Income</v>
      </c>
    </row>
    <row r="701" spans="1:38"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IF(Table1[[#This Row],[Attrition]]="Yes",1,0)</f>
        <v>0</v>
      </c>
      <c r="AK701" t="str">
        <f t="shared" si="20"/>
        <v>Senior</v>
      </c>
      <c r="AL701" t="str">
        <f t="shared" si="21"/>
        <v>High Income</v>
      </c>
    </row>
    <row r="702" spans="1:38"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IF(Table1[[#This Row],[Attrition]]="Yes",1,0)</f>
        <v>1</v>
      </c>
      <c r="AK702" t="str">
        <f t="shared" si="20"/>
        <v>Senior</v>
      </c>
      <c r="AL702" t="str">
        <f t="shared" si="21"/>
        <v>Low Income</v>
      </c>
    </row>
    <row r="703" spans="1:38"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IF(Table1[[#This Row],[Attrition]]="Yes",1,0)</f>
        <v>0</v>
      </c>
      <c r="AK703" t="str">
        <f t="shared" si="20"/>
        <v>Senior</v>
      </c>
      <c r="AL703" t="str">
        <f t="shared" si="21"/>
        <v>High Income</v>
      </c>
    </row>
    <row r="704" spans="1:38"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IF(Table1[[#This Row],[Attrition]]="Yes",1,0)</f>
        <v>0</v>
      </c>
      <c r="AK704" t="str">
        <f t="shared" si="20"/>
        <v>Mid Career</v>
      </c>
      <c r="AL704" t="str">
        <f t="shared" si="21"/>
        <v>High Income</v>
      </c>
    </row>
    <row r="705" spans="1:38"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IF(Table1[[#This Row],[Attrition]]="Yes",1,0)</f>
        <v>0</v>
      </c>
      <c r="AK705" t="str">
        <f t="shared" si="20"/>
        <v>Mid Career</v>
      </c>
      <c r="AL705" t="str">
        <f t="shared" si="21"/>
        <v>Medium Income</v>
      </c>
    </row>
    <row r="706" spans="1:38"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IF(Table1[[#This Row],[Attrition]]="Yes",1,0)</f>
        <v>0</v>
      </c>
      <c r="AK706" t="str">
        <f t="shared" ref="AK706:AK769" si="22">IF(A706&lt;30,"Young",
IF(A706&lt;40,"Mid Career",
IF(A706&lt;50,"Experienced","Senior")))</f>
        <v>Mid Career</v>
      </c>
      <c r="AL706" t="str">
        <f t="shared" ref="AL706:AL769" si="23">IF(S706&lt;3000,"Low Income",IF(S706&lt;7000,"Medium Income","High Income"))</f>
        <v>High Income</v>
      </c>
    </row>
    <row r="707" spans="1:38"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IF(Table1[[#This Row],[Attrition]]="Yes",1,0)</f>
        <v>0</v>
      </c>
      <c r="AK707" t="str">
        <f t="shared" si="22"/>
        <v>Mid Career</v>
      </c>
      <c r="AL707" t="str">
        <f t="shared" si="23"/>
        <v>High Income</v>
      </c>
    </row>
    <row r="708" spans="1:38"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IF(Table1[[#This Row],[Attrition]]="Yes",1,0)</f>
        <v>1</v>
      </c>
      <c r="AK708" t="str">
        <f t="shared" si="22"/>
        <v>Experienced</v>
      </c>
      <c r="AL708" t="str">
        <f t="shared" si="23"/>
        <v>High Income</v>
      </c>
    </row>
    <row r="709" spans="1:38"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IF(Table1[[#This Row],[Attrition]]="Yes",1,0)</f>
        <v>0</v>
      </c>
      <c r="AK709" t="str">
        <f t="shared" si="22"/>
        <v>Experienced</v>
      </c>
      <c r="AL709" t="str">
        <f t="shared" si="23"/>
        <v>Medium Income</v>
      </c>
    </row>
    <row r="710" spans="1:38"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IF(Table1[[#This Row],[Attrition]]="Yes",1,0)</f>
        <v>0</v>
      </c>
      <c r="AK710" t="str">
        <f t="shared" si="22"/>
        <v>Mid Career</v>
      </c>
      <c r="AL710" t="str">
        <f t="shared" si="23"/>
        <v>Medium Income</v>
      </c>
    </row>
    <row r="711" spans="1:38"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IF(Table1[[#This Row],[Attrition]]="Yes",1,0)</f>
        <v>1</v>
      </c>
      <c r="AK711" t="str">
        <f t="shared" si="22"/>
        <v>Mid Career</v>
      </c>
      <c r="AL711" t="str">
        <f t="shared" si="23"/>
        <v>Low Income</v>
      </c>
    </row>
    <row r="712" spans="1:38"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IF(Table1[[#This Row],[Attrition]]="Yes",1,0)</f>
        <v>0</v>
      </c>
      <c r="AK712" t="str">
        <f t="shared" si="22"/>
        <v>Mid Career</v>
      </c>
      <c r="AL712" t="str">
        <f t="shared" si="23"/>
        <v>High Income</v>
      </c>
    </row>
    <row r="713" spans="1:38"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IF(Table1[[#This Row],[Attrition]]="Yes",1,0)</f>
        <v>1</v>
      </c>
      <c r="AK713" t="str">
        <f t="shared" si="22"/>
        <v>Young</v>
      </c>
      <c r="AL713" t="str">
        <f t="shared" si="23"/>
        <v>Low Income</v>
      </c>
    </row>
    <row r="714" spans="1:38"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IF(Table1[[#This Row],[Attrition]]="Yes",1,0)</f>
        <v>0</v>
      </c>
      <c r="AK714" t="str">
        <f t="shared" si="22"/>
        <v>Mid Career</v>
      </c>
      <c r="AL714" t="str">
        <f t="shared" si="23"/>
        <v>Medium Income</v>
      </c>
    </row>
    <row r="715" spans="1:38"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IF(Table1[[#This Row],[Attrition]]="Yes",1,0)</f>
        <v>0</v>
      </c>
      <c r="AK715" t="str">
        <f t="shared" si="22"/>
        <v>Experienced</v>
      </c>
      <c r="AL715" t="str">
        <f t="shared" si="23"/>
        <v>Low Income</v>
      </c>
    </row>
    <row r="716" spans="1:38"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IF(Table1[[#This Row],[Attrition]]="Yes",1,0)</f>
        <v>0</v>
      </c>
      <c r="AK716" t="str">
        <f t="shared" si="22"/>
        <v>Senior</v>
      </c>
      <c r="AL716" t="str">
        <f t="shared" si="23"/>
        <v>High Income</v>
      </c>
    </row>
    <row r="717" spans="1:38"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IF(Table1[[#This Row],[Attrition]]="Yes",1,0)</f>
        <v>0</v>
      </c>
      <c r="AK717" t="str">
        <f t="shared" si="22"/>
        <v>Mid Career</v>
      </c>
      <c r="AL717" t="str">
        <f t="shared" si="23"/>
        <v>Medium Income</v>
      </c>
    </row>
    <row r="718" spans="1:38"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IF(Table1[[#This Row],[Attrition]]="Yes",1,0)</f>
        <v>0</v>
      </c>
      <c r="AK718" t="str">
        <f t="shared" si="22"/>
        <v>Experienced</v>
      </c>
      <c r="AL718" t="str">
        <f t="shared" si="23"/>
        <v>High Income</v>
      </c>
    </row>
    <row r="719" spans="1:38"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IF(Table1[[#This Row],[Attrition]]="Yes",1,0)</f>
        <v>0</v>
      </c>
      <c r="AK719" t="str">
        <f t="shared" si="22"/>
        <v>Young</v>
      </c>
      <c r="AL719" t="str">
        <f t="shared" si="23"/>
        <v>Low Income</v>
      </c>
    </row>
    <row r="720" spans="1:38"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IF(Table1[[#This Row],[Attrition]]="Yes",1,0)</f>
        <v>0</v>
      </c>
      <c r="AK720" t="str">
        <f t="shared" si="22"/>
        <v>Experienced</v>
      </c>
      <c r="AL720" t="str">
        <f t="shared" si="23"/>
        <v>Medium Income</v>
      </c>
    </row>
    <row r="721" spans="1:38"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IF(Table1[[#This Row],[Attrition]]="Yes",1,0)</f>
        <v>0</v>
      </c>
      <c r="AK721" t="str">
        <f t="shared" si="22"/>
        <v>Experienced</v>
      </c>
      <c r="AL721" t="str">
        <f t="shared" si="23"/>
        <v>Medium Income</v>
      </c>
    </row>
    <row r="722" spans="1:38"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IF(Table1[[#This Row],[Attrition]]="Yes",1,0)</f>
        <v>1</v>
      </c>
      <c r="AK722" t="str">
        <f t="shared" si="22"/>
        <v>Mid Career</v>
      </c>
      <c r="AL722" t="str">
        <f t="shared" si="23"/>
        <v>Low Income</v>
      </c>
    </row>
    <row r="723" spans="1:38"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IF(Table1[[#This Row],[Attrition]]="Yes",1,0)</f>
        <v>0</v>
      </c>
      <c r="AK723" t="str">
        <f t="shared" si="22"/>
        <v>Senior</v>
      </c>
      <c r="AL723" t="str">
        <f t="shared" si="23"/>
        <v>High Income</v>
      </c>
    </row>
    <row r="724" spans="1:38"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IF(Table1[[#This Row],[Attrition]]="Yes",1,0)</f>
        <v>0</v>
      </c>
      <c r="AK724" t="str">
        <f t="shared" si="22"/>
        <v>Mid Career</v>
      </c>
      <c r="AL724" t="str">
        <f t="shared" si="23"/>
        <v>Low Income</v>
      </c>
    </row>
    <row r="725" spans="1:38"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IF(Table1[[#This Row],[Attrition]]="Yes",1,0)</f>
        <v>0</v>
      </c>
      <c r="AK725" t="str">
        <f t="shared" si="22"/>
        <v>Experienced</v>
      </c>
      <c r="AL725" t="str">
        <f t="shared" si="23"/>
        <v>High Income</v>
      </c>
    </row>
    <row r="726" spans="1:38"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IF(Table1[[#This Row],[Attrition]]="Yes",1,0)</f>
        <v>0</v>
      </c>
      <c r="AK726" t="str">
        <f t="shared" si="22"/>
        <v>Young</v>
      </c>
      <c r="AL726" t="str">
        <f t="shared" si="23"/>
        <v>Medium Income</v>
      </c>
    </row>
    <row r="727" spans="1:38"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IF(Table1[[#This Row],[Attrition]]="Yes",1,0)</f>
        <v>1</v>
      </c>
      <c r="AK727" t="str">
        <f t="shared" si="22"/>
        <v>Mid Career</v>
      </c>
      <c r="AL727" t="str">
        <f t="shared" si="23"/>
        <v>Medium Income</v>
      </c>
    </row>
    <row r="728" spans="1:38"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IF(Table1[[#This Row],[Attrition]]="Yes",1,0)</f>
        <v>0</v>
      </c>
      <c r="AK728" t="str">
        <f t="shared" si="22"/>
        <v>Mid Career</v>
      </c>
      <c r="AL728" t="str">
        <f t="shared" si="23"/>
        <v>Medium Income</v>
      </c>
    </row>
    <row r="729" spans="1:38"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IF(Table1[[#This Row],[Attrition]]="Yes",1,0)</f>
        <v>0</v>
      </c>
      <c r="AK729" t="str">
        <f t="shared" si="22"/>
        <v>Young</v>
      </c>
      <c r="AL729" t="str">
        <f t="shared" si="23"/>
        <v>Low Income</v>
      </c>
    </row>
    <row r="730" spans="1:38"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IF(Table1[[#This Row],[Attrition]]="Yes",1,0)</f>
        <v>0</v>
      </c>
      <c r="AK730" t="str">
        <f t="shared" si="22"/>
        <v>Senior</v>
      </c>
      <c r="AL730" t="str">
        <f t="shared" si="23"/>
        <v>High Income</v>
      </c>
    </row>
    <row r="731" spans="1:38"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IF(Table1[[#This Row],[Attrition]]="Yes",1,0)</f>
        <v>0</v>
      </c>
      <c r="AK731" t="str">
        <f t="shared" si="22"/>
        <v>Mid Career</v>
      </c>
      <c r="AL731" t="str">
        <f t="shared" si="23"/>
        <v>High Income</v>
      </c>
    </row>
    <row r="732" spans="1:38"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IF(Table1[[#This Row],[Attrition]]="Yes",1,0)</f>
        <v>0</v>
      </c>
      <c r="AK732" t="str">
        <f t="shared" si="22"/>
        <v>Mid Career</v>
      </c>
      <c r="AL732" t="str">
        <f t="shared" si="23"/>
        <v>High Income</v>
      </c>
    </row>
    <row r="733" spans="1:38"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IF(Table1[[#This Row],[Attrition]]="Yes",1,0)</f>
        <v>1</v>
      </c>
      <c r="AK733" t="str">
        <f t="shared" si="22"/>
        <v>Young</v>
      </c>
      <c r="AL733" t="str">
        <f t="shared" si="23"/>
        <v>Low Income</v>
      </c>
    </row>
    <row r="734" spans="1:38"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IF(Table1[[#This Row],[Attrition]]="Yes",1,0)</f>
        <v>1</v>
      </c>
      <c r="AK734" t="str">
        <f t="shared" si="22"/>
        <v>Mid Career</v>
      </c>
      <c r="AL734" t="str">
        <f t="shared" si="23"/>
        <v>Low Income</v>
      </c>
    </row>
    <row r="735" spans="1:38"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IF(Table1[[#This Row],[Attrition]]="Yes",1,0)</f>
        <v>0</v>
      </c>
      <c r="AK735" t="str">
        <f t="shared" si="22"/>
        <v>Young</v>
      </c>
      <c r="AL735" t="str">
        <f t="shared" si="23"/>
        <v>Medium Income</v>
      </c>
    </row>
    <row r="736" spans="1:38"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IF(Table1[[#This Row],[Attrition]]="Yes",1,0)</f>
        <v>0</v>
      </c>
      <c r="AK736" t="str">
        <f t="shared" si="22"/>
        <v>Young</v>
      </c>
      <c r="AL736" t="str">
        <f t="shared" si="23"/>
        <v>Low Income</v>
      </c>
    </row>
    <row r="737" spans="1:38"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IF(Table1[[#This Row],[Attrition]]="Yes",1,0)</f>
        <v>0</v>
      </c>
      <c r="AK737" t="str">
        <f t="shared" si="22"/>
        <v>Experienced</v>
      </c>
      <c r="AL737" t="str">
        <f t="shared" si="23"/>
        <v>Medium Income</v>
      </c>
    </row>
    <row r="738" spans="1:38"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IF(Table1[[#This Row],[Attrition]]="Yes",1,0)</f>
        <v>0</v>
      </c>
      <c r="AK738" t="str">
        <f t="shared" si="22"/>
        <v>Experienced</v>
      </c>
      <c r="AL738" t="str">
        <f t="shared" si="23"/>
        <v>High Income</v>
      </c>
    </row>
    <row r="739" spans="1:38"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IF(Table1[[#This Row],[Attrition]]="Yes",1,0)</f>
        <v>0</v>
      </c>
      <c r="AK739" t="str">
        <f t="shared" si="22"/>
        <v>Experienced</v>
      </c>
      <c r="AL739" t="str">
        <f t="shared" si="23"/>
        <v>Medium Income</v>
      </c>
    </row>
    <row r="740" spans="1:38"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IF(Table1[[#This Row],[Attrition]]="Yes",1,0)</f>
        <v>0</v>
      </c>
      <c r="AK740" t="str">
        <f t="shared" si="22"/>
        <v>Mid Career</v>
      </c>
      <c r="AL740" t="str">
        <f t="shared" si="23"/>
        <v>High Income</v>
      </c>
    </row>
    <row r="741" spans="1:38"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IF(Table1[[#This Row],[Attrition]]="Yes",1,0)</f>
        <v>0</v>
      </c>
      <c r="AK741" t="str">
        <f t="shared" si="22"/>
        <v>Young</v>
      </c>
      <c r="AL741" t="str">
        <f t="shared" si="23"/>
        <v>Medium Income</v>
      </c>
    </row>
    <row r="742" spans="1:38"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IF(Table1[[#This Row],[Attrition]]="Yes",1,0)</f>
        <v>0</v>
      </c>
      <c r="AK742" t="str">
        <f t="shared" si="22"/>
        <v>Mid Career</v>
      </c>
      <c r="AL742" t="str">
        <f t="shared" si="23"/>
        <v>Medium Income</v>
      </c>
    </row>
    <row r="743" spans="1:38"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IF(Table1[[#This Row],[Attrition]]="Yes",1,0)</f>
        <v>0</v>
      </c>
      <c r="AK743" t="str">
        <f t="shared" si="22"/>
        <v>Experienced</v>
      </c>
      <c r="AL743" t="str">
        <f t="shared" si="23"/>
        <v>High Income</v>
      </c>
    </row>
    <row r="744" spans="1:38"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IF(Table1[[#This Row],[Attrition]]="Yes",1,0)</f>
        <v>0</v>
      </c>
      <c r="AK744" t="str">
        <f t="shared" si="22"/>
        <v>Senior</v>
      </c>
      <c r="AL744" t="str">
        <f t="shared" si="23"/>
        <v>Low Income</v>
      </c>
    </row>
    <row r="745" spans="1:38"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IF(Table1[[#This Row],[Attrition]]="Yes",1,0)</f>
        <v>0</v>
      </c>
      <c r="AK745" t="str">
        <f t="shared" si="22"/>
        <v>Senior</v>
      </c>
      <c r="AL745" t="str">
        <f t="shared" si="23"/>
        <v>High Income</v>
      </c>
    </row>
    <row r="746" spans="1:38"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IF(Table1[[#This Row],[Attrition]]="Yes",1,0)</f>
        <v>1</v>
      </c>
      <c r="AK746" t="str">
        <f t="shared" si="22"/>
        <v>Mid Career</v>
      </c>
      <c r="AL746" t="str">
        <f t="shared" si="23"/>
        <v>Medium Income</v>
      </c>
    </row>
    <row r="747" spans="1:38"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IF(Table1[[#This Row],[Attrition]]="Yes",1,0)</f>
        <v>0</v>
      </c>
      <c r="AK747" t="str">
        <f t="shared" si="22"/>
        <v>Senior</v>
      </c>
      <c r="AL747" t="str">
        <f t="shared" si="23"/>
        <v>Medium Income</v>
      </c>
    </row>
    <row r="748" spans="1:38"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IF(Table1[[#This Row],[Attrition]]="Yes",1,0)</f>
        <v>0</v>
      </c>
      <c r="AK748" t="str">
        <f t="shared" si="22"/>
        <v>Experienced</v>
      </c>
      <c r="AL748" t="str">
        <f t="shared" si="23"/>
        <v>High Income</v>
      </c>
    </row>
    <row r="749" spans="1:38"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IF(Table1[[#This Row],[Attrition]]="Yes",1,0)</f>
        <v>0</v>
      </c>
      <c r="AK749" t="str">
        <f t="shared" si="22"/>
        <v>Mid Career</v>
      </c>
      <c r="AL749" t="str">
        <f t="shared" si="23"/>
        <v>Medium Income</v>
      </c>
    </row>
    <row r="750" spans="1:38"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IF(Table1[[#This Row],[Attrition]]="Yes",1,0)</f>
        <v>1</v>
      </c>
      <c r="AK750" t="str">
        <f t="shared" si="22"/>
        <v>Young</v>
      </c>
      <c r="AL750" t="str">
        <f t="shared" si="23"/>
        <v>Medium Income</v>
      </c>
    </row>
    <row r="751" spans="1:38"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IF(Table1[[#This Row],[Attrition]]="Yes",1,0)</f>
        <v>1</v>
      </c>
      <c r="AK751" t="str">
        <f t="shared" si="22"/>
        <v>Senior</v>
      </c>
      <c r="AL751" t="str">
        <f t="shared" si="23"/>
        <v>High Income</v>
      </c>
    </row>
    <row r="752" spans="1:38"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IF(Table1[[#This Row],[Attrition]]="Yes",1,0)</f>
        <v>0</v>
      </c>
      <c r="AK752" t="str">
        <f t="shared" si="22"/>
        <v>Experienced</v>
      </c>
      <c r="AL752" t="str">
        <f t="shared" si="23"/>
        <v>High Income</v>
      </c>
    </row>
    <row r="753" spans="1:38"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IF(Table1[[#This Row],[Attrition]]="Yes",1,0)</f>
        <v>0</v>
      </c>
      <c r="AK753" t="str">
        <f t="shared" si="22"/>
        <v>Senior</v>
      </c>
      <c r="AL753" t="str">
        <f t="shared" si="23"/>
        <v>Medium Income</v>
      </c>
    </row>
    <row r="754" spans="1:38"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IF(Table1[[#This Row],[Attrition]]="Yes",1,0)</f>
        <v>1</v>
      </c>
      <c r="AK754" t="str">
        <f t="shared" si="22"/>
        <v>Mid Career</v>
      </c>
      <c r="AL754" t="str">
        <f t="shared" si="23"/>
        <v>Low Income</v>
      </c>
    </row>
    <row r="755" spans="1:38"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IF(Table1[[#This Row],[Attrition]]="Yes",1,0)</f>
        <v>0</v>
      </c>
      <c r="AK755" t="str">
        <f t="shared" si="22"/>
        <v>Mid Career</v>
      </c>
      <c r="AL755" t="str">
        <f t="shared" si="23"/>
        <v>High Income</v>
      </c>
    </row>
    <row r="756" spans="1:38"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IF(Table1[[#This Row],[Attrition]]="Yes",1,0)</f>
        <v>0</v>
      </c>
      <c r="AK756" t="str">
        <f t="shared" si="22"/>
        <v>Mid Career</v>
      </c>
      <c r="AL756" t="str">
        <f t="shared" si="23"/>
        <v>Low Income</v>
      </c>
    </row>
    <row r="757" spans="1:38"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IF(Table1[[#This Row],[Attrition]]="Yes",1,0)</f>
        <v>0</v>
      </c>
      <c r="AK757" t="str">
        <f t="shared" si="22"/>
        <v>Experienced</v>
      </c>
      <c r="AL757" t="str">
        <f t="shared" si="23"/>
        <v>High Income</v>
      </c>
    </row>
    <row r="758" spans="1:38"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IF(Table1[[#This Row],[Attrition]]="Yes",1,0)</f>
        <v>0</v>
      </c>
      <c r="AK758" t="str">
        <f t="shared" si="22"/>
        <v>Mid Career</v>
      </c>
      <c r="AL758" t="str">
        <f t="shared" si="23"/>
        <v>Medium Income</v>
      </c>
    </row>
    <row r="759" spans="1:38"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IF(Table1[[#This Row],[Attrition]]="Yes",1,0)</f>
        <v>0</v>
      </c>
      <c r="AK759" t="str">
        <f t="shared" si="22"/>
        <v>Mid Career</v>
      </c>
      <c r="AL759" t="str">
        <f t="shared" si="23"/>
        <v>High Income</v>
      </c>
    </row>
    <row r="760" spans="1:38"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IF(Table1[[#This Row],[Attrition]]="Yes",1,0)</f>
        <v>0</v>
      </c>
      <c r="AK760" t="str">
        <f t="shared" si="22"/>
        <v>Senior</v>
      </c>
      <c r="AL760" t="str">
        <f t="shared" si="23"/>
        <v>High Income</v>
      </c>
    </row>
    <row r="761" spans="1:38"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IF(Table1[[#This Row],[Attrition]]="Yes",1,0)</f>
        <v>0</v>
      </c>
      <c r="AK761" t="str">
        <f t="shared" si="22"/>
        <v>Experienced</v>
      </c>
      <c r="AL761" t="str">
        <f t="shared" si="23"/>
        <v>Low Income</v>
      </c>
    </row>
    <row r="762" spans="1:38"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IF(Table1[[#This Row],[Attrition]]="Yes",1,0)</f>
        <v>0</v>
      </c>
      <c r="AK762" t="str">
        <f t="shared" si="22"/>
        <v>Senior</v>
      </c>
      <c r="AL762" t="str">
        <f t="shared" si="23"/>
        <v>High Income</v>
      </c>
    </row>
    <row r="763" spans="1:38"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IF(Table1[[#This Row],[Attrition]]="Yes",1,0)</f>
        <v>1</v>
      </c>
      <c r="AK763" t="str">
        <f t="shared" si="22"/>
        <v>Mid Career</v>
      </c>
      <c r="AL763" t="str">
        <f t="shared" si="23"/>
        <v>Medium Income</v>
      </c>
    </row>
    <row r="764" spans="1:38"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IF(Table1[[#This Row],[Attrition]]="Yes",1,0)</f>
        <v>1</v>
      </c>
      <c r="AK764" t="str">
        <f t="shared" si="22"/>
        <v>Young</v>
      </c>
      <c r="AL764" t="str">
        <f t="shared" si="23"/>
        <v>Low Income</v>
      </c>
    </row>
    <row r="765" spans="1:38"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IF(Table1[[#This Row],[Attrition]]="Yes",1,0)</f>
        <v>0</v>
      </c>
      <c r="AK765" t="str">
        <f t="shared" si="22"/>
        <v>Mid Career</v>
      </c>
      <c r="AL765" t="str">
        <f t="shared" si="23"/>
        <v>Low Income</v>
      </c>
    </row>
    <row r="766" spans="1:38"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IF(Table1[[#This Row],[Attrition]]="Yes",1,0)</f>
        <v>0</v>
      </c>
      <c r="AK766" t="str">
        <f t="shared" si="22"/>
        <v>Young</v>
      </c>
      <c r="AL766" t="str">
        <f t="shared" si="23"/>
        <v>Low Income</v>
      </c>
    </row>
    <row r="767" spans="1:38"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IF(Table1[[#This Row],[Attrition]]="Yes",1,0)</f>
        <v>0</v>
      </c>
      <c r="AK767" t="str">
        <f t="shared" si="22"/>
        <v>Mid Career</v>
      </c>
      <c r="AL767" t="str">
        <f t="shared" si="23"/>
        <v>Low Income</v>
      </c>
    </row>
    <row r="768" spans="1:38"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IF(Table1[[#This Row],[Attrition]]="Yes",1,0)</f>
        <v>0</v>
      </c>
      <c r="AK768" t="str">
        <f t="shared" si="22"/>
        <v>Senior</v>
      </c>
      <c r="AL768" t="str">
        <f t="shared" si="23"/>
        <v>High Income</v>
      </c>
    </row>
    <row r="769" spans="1:38"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IF(Table1[[#This Row],[Attrition]]="Yes",1,0)</f>
        <v>0</v>
      </c>
      <c r="AK769" t="str">
        <f t="shared" si="22"/>
        <v>Mid Career</v>
      </c>
      <c r="AL769" t="str">
        <f t="shared" si="23"/>
        <v>Medium Income</v>
      </c>
    </row>
    <row r="770" spans="1:38"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IF(Table1[[#This Row],[Attrition]]="Yes",1,0)</f>
        <v>0</v>
      </c>
      <c r="AK770" t="str">
        <f t="shared" ref="AK770:AK833" si="24">IF(A770&lt;30,"Young",
IF(A770&lt;40,"Mid Career",
IF(A770&lt;50,"Experienced","Senior")))</f>
        <v>Experienced</v>
      </c>
      <c r="AL770" t="str">
        <f t="shared" ref="AL770:AL833" si="25">IF(S770&lt;3000,"Low Income",IF(S770&lt;7000,"Medium Income","High Income"))</f>
        <v>High Income</v>
      </c>
    </row>
    <row r="771" spans="1:38"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IF(Table1[[#This Row],[Attrition]]="Yes",1,0)</f>
        <v>0</v>
      </c>
      <c r="AK771" t="str">
        <f t="shared" si="24"/>
        <v>Young</v>
      </c>
      <c r="AL771" t="str">
        <f t="shared" si="25"/>
        <v>Low Income</v>
      </c>
    </row>
    <row r="772" spans="1:38"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IF(Table1[[#This Row],[Attrition]]="Yes",1,0)</f>
        <v>0</v>
      </c>
      <c r="AK772" t="str">
        <f t="shared" si="24"/>
        <v>Experienced</v>
      </c>
      <c r="AL772" t="str">
        <f t="shared" si="25"/>
        <v>High Income</v>
      </c>
    </row>
    <row r="773" spans="1:38"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IF(Table1[[#This Row],[Attrition]]="Yes",1,0)</f>
        <v>0</v>
      </c>
      <c r="AK773" t="str">
        <f t="shared" si="24"/>
        <v>Senior</v>
      </c>
      <c r="AL773" t="str">
        <f t="shared" si="25"/>
        <v>High Income</v>
      </c>
    </row>
    <row r="774" spans="1:38"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IF(Table1[[#This Row],[Attrition]]="Yes",1,0)</f>
        <v>0</v>
      </c>
      <c r="AK774" t="str">
        <f t="shared" si="24"/>
        <v>Senior</v>
      </c>
      <c r="AL774" t="str">
        <f t="shared" si="25"/>
        <v>Low Income</v>
      </c>
    </row>
    <row r="775" spans="1:38"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IF(Table1[[#This Row],[Attrition]]="Yes",1,0)</f>
        <v>0</v>
      </c>
      <c r="AK775" t="str">
        <f t="shared" si="24"/>
        <v>Mid Career</v>
      </c>
      <c r="AL775" t="str">
        <f t="shared" si="25"/>
        <v>High Income</v>
      </c>
    </row>
    <row r="776" spans="1:38"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IF(Table1[[#This Row],[Attrition]]="Yes",1,0)</f>
        <v>0</v>
      </c>
      <c r="AK776" t="str">
        <f t="shared" si="24"/>
        <v>Senior</v>
      </c>
      <c r="AL776" t="str">
        <f t="shared" si="25"/>
        <v>High Income</v>
      </c>
    </row>
    <row r="777" spans="1:38"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IF(Table1[[#This Row],[Attrition]]="Yes",1,0)</f>
        <v>0</v>
      </c>
      <c r="AK777" t="str">
        <f t="shared" si="24"/>
        <v>Experienced</v>
      </c>
      <c r="AL777" t="str">
        <f t="shared" si="25"/>
        <v>High Income</v>
      </c>
    </row>
    <row r="778" spans="1:38"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IF(Table1[[#This Row],[Attrition]]="Yes",1,0)</f>
        <v>1</v>
      </c>
      <c r="AK778" t="str">
        <f t="shared" si="24"/>
        <v>Young</v>
      </c>
      <c r="AL778" t="str">
        <f t="shared" si="25"/>
        <v>Low Income</v>
      </c>
    </row>
    <row r="779" spans="1:38"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IF(Table1[[#This Row],[Attrition]]="Yes",1,0)</f>
        <v>1</v>
      </c>
      <c r="AK779" t="str">
        <f t="shared" si="24"/>
        <v>Young</v>
      </c>
      <c r="AL779" t="str">
        <f t="shared" si="25"/>
        <v>Low Income</v>
      </c>
    </row>
    <row r="780" spans="1:38"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IF(Table1[[#This Row],[Attrition]]="Yes",1,0)</f>
        <v>0</v>
      </c>
      <c r="AK780" t="str">
        <f t="shared" si="24"/>
        <v>Experienced</v>
      </c>
      <c r="AL780" t="str">
        <f t="shared" si="25"/>
        <v>Medium Income</v>
      </c>
    </row>
    <row r="781" spans="1:38"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IF(Table1[[#This Row],[Attrition]]="Yes",1,0)</f>
        <v>1</v>
      </c>
      <c r="AK781" t="str">
        <f t="shared" si="24"/>
        <v>Senior</v>
      </c>
      <c r="AL781" t="str">
        <f t="shared" si="25"/>
        <v>Low Income</v>
      </c>
    </row>
    <row r="782" spans="1:38"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IF(Table1[[#This Row],[Attrition]]="Yes",1,0)</f>
        <v>1</v>
      </c>
      <c r="AK782" t="str">
        <f t="shared" si="24"/>
        <v>Young</v>
      </c>
      <c r="AL782" t="str">
        <f t="shared" si="25"/>
        <v>High Income</v>
      </c>
    </row>
    <row r="783" spans="1:38"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IF(Table1[[#This Row],[Attrition]]="Yes",1,0)</f>
        <v>0</v>
      </c>
      <c r="AK783" t="str">
        <f t="shared" si="24"/>
        <v>Young</v>
      </c>
      <c r="AL783" t="str">
        <f t="shared" si="25"/>
        <v>Medium Income</v>
      </c>
    </row>
    <row r="784" spans="1:38"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IF(Table1[[#This Row],[Attrition]]="Yes",1,0)</f>
        <v>0</v>
      </c>
      <c r="AK784" t="str">
        <f t="shared" si="24"/>
        <v>Mid Career</v>
      </c>
      <c r="AL784" t="str">
        <f t="shared" si="25"/>
        <v>High Income</v>
      </c>
    </row>
    <row r="785" spans="1:38"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IF(Table1[[#This Row],[Attrition]]="Yes",1,0)</f>
        <v>0</v>
      </c>
      <c r="AK785" t="str">
        <f t="shared" si="24"/>
        <v>Experienced</v>
      </c>
      <c r="AL785" t="str">
        <f t="shared" si="25"/>
        <v>Medium Income</v>
      </c>
    </row>
    <row r="786" spans="1:38"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IF(Table1[[#This Row],[Attrition]]="Yes",1,0)</f>
        <v>0</v>
      </c>
      <c r="AK786" t="str">
        <f t="shared" si="24"/>
        <v>Mid Career</v>
      </c>
      <c r="AL786" t="str">
        <f t="shared" si="25"/>
        <v>High Income</v>
      </c>
    </row>
    <row r="787" spans="1:38"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IF(Table1[[#This Row],[Attrition]]="Yes",1,0)</f>
        <v>0</v>
      </c>
      <c r="AK787" t="str">
        <f t="shared" si="24"/>
        <v>Experienced</v>
      </c>
      <c r="AL787" t="str">
        <f t="shared" si="25"/>
        <v>High Income</v>
      </c>
    </row>
    <row r="788" spans="1:38"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IF(Table1[[#This Row],[Attrition]]="Yes",1,0)</f>
        <v>0</v>
      </c>
      <c r="AK788" t="str">
        <f t="shared" si="24"/>
        <v>Young</v>
      </c>
      <c r="AL788" t="str">
        <f t="shared" si="25"/>
        <v>Medium Income</v>
      </c>
    </row>
    <row r="789" spans="1:38"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IF(Table1[[#This Row],[Attrition]]="Yes",1,0)</f>
        <v>0</v>
      </c>
      <c r="AK789" t="str">
        <f t="shared" si="24"/>
        <v>Senior</v>
      </c>
      <c r="AL789" t="str">
        <f t="shared" si="25"/>
        <v>High Income</v>
      </c>
    </row>
    <row r="790" spans="1:38"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IF(Table1[[#This Row],[Attrition]]="Yes",1,0)</f>
        <v>0</v>
      </c>
      <c r="AK790" t="str">
        <f t="shared" si="24"/>
        <v>Young</v>
      </c>
      <c r="AL790" t="str">
        <f t="shared" si="25"/>
        <v>Medium Income</v>
      </c>
    </row>
    <row r="791" spans="1:38"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IF(Table1[[#This Row],[Attrition]]="Yes",1,0)</f>
        <v>1</v>
      </c>
      <c r="AK791" t="str">
        <f t="shared" si="24"/>
        <v>Experienced</v>
      </c>
      <c r="AL791" t="str">
        <f t="shared" si="25"/>
        <v>High Income</v>
      </c>
    </row>
    <row r="792" spans="1:38"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IF(Table1[[#This Row],[Attrition]]="Yes",1,0)</f>
        <v>0</v>
      </c>
      <c r="AK792" t="str">
        <f t="shared" si="24"/>
        <v>Mid Career</v>
      </c>
      <c r="AL792" t="str">
        <f t="shared" si="25"/>
        <v>High Income</v>
      </c>
    </row>
    <row r="793" spans="1:38"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IF(Table1[[#This Row],[Attrition]]="Yes",1,0)</f>
        <v>1</v>
      </c>
      <c r="AK793" t="str">
        <f t="shared" si="24"/>
        <v>Mid Career</v>
      </c>
      <c r="AL793" t="str">
        <f t="shared" si="25"/>
        <v>High Income</v>
      </c>
    </row>
    <row r="794" spans="1:38"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IF(Table1[[#This Row],[Attrition]]="Yes",1,0)</f>
        <v>1</v>
      </c>
      <c r="AK794" t="str">
        <f t="shared" si="24"/>
        <v>Mid Career</v>
      </c>
      <c r="AL794" t="str">
        <f t="shared" si="25"/>
        <v>Medium Income</v>
      </c>
    </row>
    <row r="795" spans="1:38"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IF(Table1[[#This Row],[Attrition]]="Yes",1,0)</f>
        <v>0</v>
      </c>
      <c r="AK795" t="str">
        <f t="shared" si="24"/>
        <v>Young</v>
      </c>
      <c r="AL795" t="str">
        <f t="shared" si="25"/>
        <v>Low Income</v>
      </c>
    </row>
    <row r="796" spans="1:38"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IF(Table1[[#This Row],[Attrition]]="Yes",1,0)</f>
        <v>0</v>
      </c>
      <c r="AK796" t="str">
        <f t="shared" si="24"/>
        <v>Mid Career</v>
      </c>
      <c r="AL796" t="str">
        <f t="shared" si="25"/>
        <v>High Income</v>
      </c>
    </row>
    <row r="797" spans="1:38"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IF(Table1[[#This Row],[Attrition]]="Yes",1,0)</f>
        <v>0</v>
      </c>
      <c r="AK797" t="str">
        <f t="shared" si="24"/>
        <v>Mid Career</v>
      </c>
      <c r="AL797" t="str">
        <f t="shared" si="25"/>
        <v>Medium Income</v>
      </c>
    </row>
    <row r="798" spans="1:38"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IF(Table1[[#This Row],[Attrition]]="Yes",1,0)</f>
        <v>1</v>
      </c>
      <c r="AK798" t="str">
        <f t="shared" si="24"/>
        <v>Young</v>
      </c>
      <c r="AL798" t="str">
        <f t="shared" si="25"/>
        <v>Medium Income</v>
      </c>
    </row>
    <row r="799" spans="1:38"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IF(Table1[[#This Row],[Attrition]]="Yes",1,0)</f>
        <v>1</v>
      </c>
      <c r="AK799" t="str">
        <f t="shared" si="24"/>
        <v>Young</v>
      </c>
      <c r="AL799" t="str">
        <f t="shared" si="25"/>
        <v>Low Income</v>
      </c>
    </row>
    <row r="800" spans="1:38"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IF(Table1[[#This Row],[Attrition]]="Yes",1,0)</f>
        <v>1</v>
      </c>
      <c r="AK800" t="str">
        <f t="shared" si="24"/>
        <v>Mid Career</v>
      </c>
      <c r="AL800" t="str">
        <f t="shared" si="25"/>
        <v>Low Income</v>
      </c>
    </row>
    <row r="801" spans="1:38"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IF(Table1[[#This Row],[Attrition]]="Yes",1,0)</f>
        <v>0</v>
      </c>
      <c r="AK801" t="str">
        <f t="shared" si="24"/>
        <v>Experienced</v>
      </c>
      <c r="AL801" t="str">
        <f t="shared" si="25"/>
        <v>High Income</v>
      </c>
    </row>
    <row r="802" spans="1:38"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IF(Table1[[#This Row],[Attrition]]="Yes",1,0)</f>
        <v>1</v>
      </c>
      <c r="AK802" t="str">
        <f t="shared" si="24"/>
        <v>Young</v>
      </c>
      <c r="AL802" t="str">
        <f t="shared" si="25"/>
        <v>Low Income</v>
      </c>
    </row>
    <row r="803" spans="1:38"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IF(Table1[[#This Row],[Attrition]]="Yes",1,0)</f>
        <v>1</v>
      </c>
      <c r="AK803" t="str">
        <f t="shared" si="24"/>
        <v>Senior</v>
      </c>
      <c r="AL803" t="str">
        <f t="shared" si="25"/>
        <v>Medium Income</v>
      </c>
    </row>
    <row r="804" spans="1:38"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IF(Table1[[#This Row],[Attrition]]="Yes",1,0)</f>
        <v>0</v>
      </c>
      <c r="AK804" t="str">
        <f t="shared" si="24"/>
        <v>Mid Career</v>
      </c>
      <c r="AL804" t="str">
        <f t="shared" si="25"/>
        <v>Medium Income</v>
      </c>
    </row>
    <row r="805" spans="1:38"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IF(Table1[[#This Row],[Attrition]]="Yes",1,0)</f>
        <v>0</v>
      </c>
      <c r="AK805" t="str">
        <f t="shared" si="24"/>
        <v>Mid Career</v>
      </c>
      <c r="AL805" t="str">
        <f t="shared" si="25"/>
        <v>Low Income</v>
      </c>
    </row>
    <row r="806" spans="1:38"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IF(Table1[[#This Row],[Attrition]]="Yes",1,0)</f>
        <v>0</v>
      </c>
      <c r="AK806" t="str">
        <f t="shared" si="24"/>
        <v>Experienced</v>
      </c>
      <c r="AL806" t="str">
        <f t="shared" si="25"/>
        <v>High Income</v>
      </c>
    </row>
    <row r="807" spans="1:38"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IF(Table1[[#This Row],[Attrition]]="Yes",1,0)</f>
        <v>0</v>
      </c>
      <c r="AK807" t="str">
        <f t="shared" si="24"/>
        <v>Experienced</v>
      </c>
      <c r="AL807" t="str">
        <f t="shared" si="25"/>
        <v>Medium Income</v>
      </c>
    </row>
    <row r="808" spans="1:38"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IF(Table1[[#This Row],[Attrition]]="Yes",1,0)</f>
        <v>0</v>
      </c>
      <c r="AK808" t="str">
        <f t="shared" si="24"/>
        <v>Senior</v>
      </c>
      <c r="AL808" t="str">
        <f t="shared" si="25"/>
        <v>High Income</v>
      </c>
    </row>
    <row r="809" spans="1:38"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IF(Table1[[#This Row],[Attrition]]="Yes",1,0)</f>
        <v>0</v>
      </c>
      <c r="AK809" t="str">
        <f t="shared" si="24"/>
        <v>Mid Career</v>
      </c>
      <c r="AL809" t="str">
        <f t="shared" si="25"/>
        <v>High Income</v>
      </c>
    </row>
    <row r="810" spans="1:38"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IF(Table1[[#This Row],[Attrition]]="Yes",1,0)</f>
        <v>0</v>
      </c>
      <c r="AK810" t="str">
        <f t="shared" si="24"/>
        <v>Young</v>
      </c>
      <c r="AL810" t="str">
        <f t="shared" si="25"/>
        <v>Low Income</v>
      </c>
    </row>
    <row r="811" spans="1:38"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IF(Table1[[#This Row],[Attrition]]="Yes",1,0)</f>
        <v>0</v>
      </c>
      <c r="AK811" t="str">
        <f t="shared" si="24"/>
        <v>Young</v>
      </c>
      <c r="AL811" t="str">
        <f t="shared" si="25"/>
        <v>High Income</v>
      </c>
    </row>
    <row r="812" spans="1:38"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IF(Table1[[#This Row],[Attrition]]="Yes",1,0)</f>
        <v>0</v>
      </c>
      <c r="AK812" t="str">
        <f t="shared" si="24"/>
        <v>Experienced</v>
      </c>
      <c r="AL812" t="str">
        <f t="shared" si="25"/>
        <v>High Income</v>
      </c>
    </row>
    <row r="813" spans="1:38"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IF(Table1[[#This Row],[Attrition]]="Yes",1,0)</f>
        <v>0</v>
      </c>
      <c r="AK813" t="str">
        <f t="shared" si="24"/>
        <v>Mid Career</v>
      </c>
      <c r="AL813" t="str">
        <f t="shared" si="25"/>
        <v>High Income</v>
      </c>
    </row>
    <row r="814" spans="1:38"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IF(Table1[[#This Row],[Attrition]]="Yes",1,0)</f>
        <v>0</v>
      </c>
      <c r="AK814" t="str">
        <f t="shared" si="24"/>
        <v>Experienced</v>
      </c>
      <c r="AL814" t="str">
        <f t="shared" si="25"/>
        <v>High Income</v>
      </c>
    </row>
    <row r="815" spans="1:38"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IF(Table1[[#This Row],[Attrition]]="Yes",1,0)</f>
        <v>1</v>
      </c>
      <c r="AK815" t="str">
        <f t="shared" si="24"/>
        <v>Mid Career</v>
      </c>
      <c r="AL815" t="str">
        <f t="shared" si="25"/>
        <v>High Income</v>
      </c>
    </row>
    <row r="816" spans="1:38"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IF(Table1[[#This Row],[Attrition]]="Yes",1,0)</f>
        <v>0</v>
      </c>
      <c r="AK816" t="str">
        <f t="shared" si="24"/>
        <v>Experienced</v>
      </c>
      <c r="AL816" t="str">
        <f t="shared" si="25"/>
        <v>High Income</v>
      </c>
    </row>
    <row r="817" spans="1:38"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IF(Table1[[#This Row],[Attrition]]="Yes",1,0)</f>
        <v>0</v>
      </c>
      <c r="AK817" t="str">
        <f t="shared" si="24"/>
        <v>Young</v>
      </c>
      <c r="AL817" t="str">
        <f t="shared" si="25"/>
        <v>Low Income</v>
      </c>
    </row>
    <row r="818" spans="1:38"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IF(Table1[[#This Row],[Attrition]]="Yes",1,0)</f>
        <v>0</v>
      </c>
      <c r="AK818" t="str">
        <f t="shared" si="24"/>
        <v>Mid Career</v>
      </c>
      <c r="AL818" t="str">
        <f t="shared" si="25"/>
        <v>Medium Income</v>
      </c>
    </row>
    <row r="819" spans="1:38"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IF(Table1[[#This Row],[Attrition]]="Yes",1,0)</f>
        <v>0</v>
      </c>
      <c r="AK819" t="str">
        <f t="shared" si="24"/>
        <v>Mid Career</v>
      </c>
      <c r="AL819" t="str">
        <f t="shared" si="25"/>
        <v>High Income</v>
      </c>
    </row>
    <row r="820" spans="1:38"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IF(Table1[[#This Row],[Attrition]]="Yes",1,0)</f>
        <v>0</v>
      </c>
      <c r="AK820" t="str">
        <f t="shared" si="24"/>
        <v>Mid Career</v>
      </c>
      <c r="AL820" t="str">
        <f t="shared" si="25"/>
        <v>Low Income</v>
      </c>
    </row>
    <row r="821" spans="1:38"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IF(Table1[[#This Row],[Attrition]]="Yes",1,0)</f>
        <v>0</v>
      </c>
      <c r="AK821" t="str">
        <f t="shared" si="24"/>
        <v>Young</v>
      </c>
      <c r="AL821" t="str">
        <f t="shared" si="25"/>
        <v>Medium Income</v>
      </c>
    </row>
    <row r="822" spans="1:38"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IF(Table1[[#This Row],[Attrition]]="Yes",1,0)</f>
        <v>0</v>
      </c>
      <c r="AK822" t="str">
        <f t="shared" si="24"/>
        <v>Mid Career</v>
      </c>
      <c r="AL822" t="str">
        <f t="shared" si="25"/>
        <v>Medium Income</v>
      </c>
    </row>
    <row r="823" spans="1:38"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IF(Table1[[#This Row],[Attrition]]="Yes",1,0)</f>
        <v>0</v>
      </c>
      <c r="AK823" t="str">
        <f t="shared" si="24"/>
        <v>Experienced</v>
      </c>
      <c r="AL823" t="str">
        <f t="shared" si="25"/>
        <v>High Income</v>
      </c>
    </row>
    <row r="824" spans="1:38"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IF(Table1[[#This Row],[Attrition]]="Yes",1,0)</f>
        <v>0</v>
      </c>
      <c r="AK824" t="str">
        <f t="shared" si="24"/>
        <v>Mid Career</v>
      </c>
      <c r="AL824" t="str">
        <f t="shared" si="25"/>
        <v>Medium Income</v>
      </c>
    </row>
    <row r="825" spans="1:38"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IF(Table1[[#This Row],[Attrition]]="Yes",1,0)</f>
        <v>0</v>
      </c>
      <c r="AK825" t="str">
        <f t="shared" si="24"/>
        <v>Young</v>
      </c>
      <c r="AL825" t="str">
        <f t="shared" si="25"/>
        <v>Medium Income</v>
      </c>
    </row>
    <row r="826" spans="1:38"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IF(Table1[[#This Row],[Attrition]]="Yes",1,0)</f>
        <v>0</v>
      </c>
      <c r="AK826" t="str">
        <f t="shared" si="24"/>
        <v>Experienced</v>
      </c>
      <c r="AL826" t="str">
        <f t="shared" si="25"/>
        <v>Medium Income</v>
      </c>
    </row>
    <row r="827" spans="1:38"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IF(Table1[[#This Row],[Attrition]]="Yes",1,0)</f>
        <v>0</v>
      </c>
      <c r="AK827" t="str">
        <f t="shared" si="24"/>
        <v>Young</v>
      </c>
      <c r="AL827" t="str">
        <f t="shared" si="25"/>
        <v>Medium Income</v>
      </c>
    </row>
    <row r="828" spans="1:38"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IF(Table1[[#This Row],[Attrition]]="Yes",1,0)</f>
        <v>0</v>
      </c>
      <c r="AK828" t="str">
        <f t="shared" si="24"/>
        <v>Mid Career</v>
      </c>
      <c r="AL828" t="str">
        <f t="shared" si="25"/>
        <v>Low Income</v>
      </c>
    </row>
    <row r="829" spans="1:38"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IF(Table1[[#This Row],[Attrition]]="Yes",1,0)</f>
        <v>0</v>
      </c>
      <c r="AK829" t="str">
        <f t="shared" si="24"/>
        <v>Young</v>
      </c>
      <c r="AL829" t="str">
        <f t="shared" si="25"/>
        <v>Low Income</v>
      </c>
    </row>
    <row r="830" spans="1:38"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IF(Table1[[#This Row],[Attrition]]="Yes",1,0)</f>
        <v>1</v>
      </c>
      <c r="AK830" t="str">
        <f t="shared" si="24"/>
        <v>Young</v>
      </c>
      <c r="AL830" t="str">
        <f t="shared" si="25"/>
        <v>Low Income</v>
      </c>
    </row>
    <row r="831" spans="1:38"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IF(Table1[[#This Row],[Attrition]]="Yes",1,0)</f>
        <v>1</v>
      </c>
      <c r="AK831" t="str">
        <f t="shared" si="24"/>
        <v>Mid Career</v>
      </c>
      <c r="AL831" t="str">
        <f t="shared" si="25"/>
        <v>High Income</v>
      </c>
    </row>
    <row r="832" spans="1:38"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IF(Table1[[#This Row],[Attrition]]="Yes",1,0)</f>
        <v>0</v>
      </c>
      <c r="AK832" t="str">
        <f t="shared" si="24"/>
        <v>Experienced</v>
      </c>
      <c r="AL832" t="str">
        <f t="shared" si="25"/>
        <v>Medium Income</v>
      </c>
    </row>
    <row r="833" spans="1:38"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IF(Table1[[#This Row],[Attrition]]="Yes",1,0)</f>
        <v>1</v>
      </c>
      <c r="AK833" t="str">
        <f t="shared" si="24"/>
        <v>Mid Career</v>
      </c>
      <c r="AL833" t="str">
        <f t="shared" si="25"/>
        <v>Low Income</v>
      </c>
    </row>
    <row r="834" spans="1:38"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IF(Table1[[#This Row],[Attrition]]="Yes",1,0)</f>
        <v>0</v>
      </c>
      <c r="AK834" t="str">
        <f t="shared" ref="AK834:AK897" si="26">IF(A834&lt;30,"Young",
IF(A834&lt;40,"Mid Career",
IF(A834&lt;50,"Experienced","Senior")))</f>
        <v>Mid Career</v>
      </c>
      <c r="AL834" t="str">
        <f t="shared" ref="AL834:AL897" si="27">IF(S834&lt;3000,"Low Income",IF(S834&lt;7000,"Medium Income","High Income"))</f>
        <v>Medium Income</v>
      </c>
    </row>
    <row r="835" spans="1:38"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IF(Table1[[#This Row],[Attrition]]="Yes",1,0)</f>
        <v>0</v>
      </c>
      <c r="AK835" t="str">
        <f t="shared" si="26"/>
        <v>Young</v>
      </c>
      <c r="AL835" t="str">
        <f t="shared" si="27"/>
        <v>Low Income</v>
      </c>
    </row>
    <row r="836" spans="1:38"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IF(Table1[[#This Row],[Attrition]]="Yes",1,0)</f>
        <v>0</v>
      </c>
      <c r="AK836" t="str">
        <f t="shared" si="26"/>
        <v>Mid Career</v>
      </c>
      <c r="AL836" t="str">
        <f t="shared" si="27"/>
        <v>Medium Income</v>
      </c>
    </row>
    <row r="837" spans="1:38"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IF(Table1[[#This Row],[Attrition]]="Yes",1,0)</f>
        <v>0</v>
      </c>
      <c r="AK837" t="str">
        <f t="shared" si="26"/>
        <v>Mid Career</v>
      </c>
      <c r="AL837" t="str">
        <f t="shared" si="27"/>
        <v>Medium Income</v>
      </c>
    </row>
    <row r="838" spans="1:38"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IF(Table1[[#This Row],[Attrition]]="Yes",1,0)</f>
        <v>1</v>
      </c>
      <c r="AK838" t="str">
        <f t="shared" si="26"/>
        <v>Young</v>
      </c>
      <c r="AL838" t="str">
        <f t="shared" si="27"/>
        <v>High Income</v>
      </c>
    </row>
    <row r="839" spans="1:38"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IF(Table1[[#This Row],[Attrition]]="Yes",1,0)</f>
        <v>0</v>
      </c>
      <c r="AK839" t="str">
        <f t="shared" si="26"/>
        <v>Experienced</v>
      </c>
      <c r="AL839" t="str">
        <f t="shared" si="27"/>
        <v>High Income</v>
      </c>
    </row>
    <row r="840" spans="1:38"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IF(Table1[[#This Row],[Attrition]]="Yes",1,0)</f>
        <v>1</v>
      </c>
      <c r="AK840" t="str">
        <f t="shared" si="26"/>
        <v>Experienced</v>
      </c>
      <c r="AL840" t="str">
        <f t="shared" si="27"/>
        <v>High Income</v>
      </c>
    </row>
    <row r="841" spans="1:38"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IF(Table1[[#This Row],[Attrition]]="Yes",1,0)</f>
        <v>0</v>
      </c>
      <c r="AK841" t="str">
        <f t="shared" si="26"/>
        <v>Experienced</v>
      </c>
      <c r="AL841" t="str">
        <f t="shared" si="27"/>
        <v>Medium Income</v>
      </c>
    </row>
    <row r="842" spans="1:38"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IF(Table1[[#This Row],[Attrition]]="Yes",1,0)</f>
        <v>0</v>
      </c>
      <c r="AK842" t="str">
        <f t="shared" si="26"/>
        <v>Mid Career</v>
      </c>
      <c r="AL842" t="str">
        <f t="shared" si="27"/>
        <v>Low Income</v>
      </c>
    </row>
    <row r="843" spans="1:38"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IF(Table1[[#This Row],[Attrition]]="Yes",1,0)</f>
        <v>0</v>
      </c>
      <c r="AK843" t="str">
        <f t="shared" si="26"/>
        <v>Young</v>
      </c>
      <c r="AL843" t="str">
        <f t="shared" si="27"/>
        <v>Medium Income</v>
      </c>
    </row>
    <row r="844" spans="1:38"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IF(Table1[[#This Row],[Attrition]]="Yes",1,0)</f>
        <v>1</v>
      </c>
      <c r="AK844" t="str">
        <f t="shared" si="26"/>
        <v>Young</v>
      </c>
      <c r="AL844" t="str">
        <f t="shared" si="27"/>
        <v>Low Income</v>
      </c>
    </row>
    <row r="845" spans="1:38"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IF(Table1[[#This Row],[Attrition]]="Yes",1,0)</f>
        <v>0</v>
      </c>
      <c r="AK845" t="str">
        <f t="shared" si="26"/>
        <v>Young</v>
      </c>
      <c r="AL845" t="str">
        <f t="shared" si="27"/>
        <v>Medium Income</v>
      </c>
    </row>
    <row r="846" spans="1:38"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IF(Table1[[#This Row],[Attrition]]="Yes",1,0)</f>
        <v>0</v>
      </c>
      <c r="AK846" t="str">
        <f t="shared" si="26"/>
        <v>Mid Career</v>
      </c>
      <c r="AL846" t="str">
        <f t="shared" si="27"/>
        <v>Medium Income</v>
      </c>
    </row>
    <row r="847" spans="1:38"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IF(Table1[[#This Row],[Attrition]]="Yes",1,0)</f>
        <v>0</v>
      </c>
      <c r="AK847" t="str">
        <f t="shared" si="26"/>
        <v>Experienced</v>
      </c>
      <c r="AL847" t="str">
        <f t="shared" si="27"/>
        <v>Medium Income</v>
      </c>
    </row>
    <row r="848" spans="1:38"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IF(Table1[[#This Row],[Attrition]]="Yes",1,0)</f>
        <v>0</v>
      </c>
      <c r="AK848" t="str">
        <f t="shared" si="26"/>
        <v>Mid Career</v>
      </c>
      <c r="AL848" t="str">
        <f t="shared" si="27"/>
        <v>High Income</v>
      </c>
    </row>
    <row r="849" spans="1:38"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IF(Table1[[#This Row],[Attrition]]="Yes",1,0)</f>
        <v>0</v>
      </c>
      <c r="AK849" t="str">
        <f t="shared" si="26"/>
        <v>Mid Career</v>
      </c>
      <c r="AL849" t="str">
        <f t="shared" si="27"/>
        <v>Medium Income</v>
      </c>
    </row>
    <row r="850" spans="1:38"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IF(Table1[[#This Row],[Attrition]]="Yes",1,0)</f>
        <v>0</v>
      </c>
      <c r="AK850" t="str">
        <f t="shared" si="26"/>
        <v>Mid Career</v>
      </c>
      <c r="AL850" t="str">
        <f t="shared" si="27"/>
        <v>Low Income</v>
      </c>
    </row>
    <row r="851" spans="1:38"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IF(Table1[[#This Row],[Attrition]]="Yes",1,0)</f>
        <v>1</v>
      </c>
      <c r="AK851" t="str">
        <f t="shared" si="26"/>
        <v>Experienced</v>
      </c>
      <c r="AL851" t="str">
        <f t="shared" si="27"/>
        <v>Medium Income</v>
      </c>
    </row>
    <row r="852" spans="1:38"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IF(Table1[[#This Row],[Attrition]]="Yes",1,0)</f>
        <v>0</v>
      </c>
      <c r="AK852" t="str">
        <f t="shared" si="26"/>
        <v>Mid Career</v>
      </c>
      <c r="AL852" t="str">
        <f t="shared" si="27"/>
        <v>Low Income</v>
      </c>
    </row>
    <row r="853" spans="1:38"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IF(Table1[[#This Row],[Attrition]]="Yes",1,0)</f>
        <v>0</v>
      </c>
      <c r="AK853" t="str">
        <f t="shared" si="26"/>
        <v>Senior</v>
      </c>
      <c r="AL853" t="str">
        <f t="shared" si="27"/>
        <v>High Income</v>
      </c>
    </row>
    <row r="854" spans="1:38"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IF(Table1[[#This Row],[Attrition]]="Yes",1,0)</f>
        <v>0</v>
      </c>
      <c r="AK854" t="str">
        <f t="shared" si="26"/>
        <v>Young</v>
      </c>
      <c r="AL854" t="str">
        <f t="shared" si="27"/>
        <v>Medium Income</v>
      </c>
    </row>
    <row r="855" spans="1:38"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IF(Table1[[#This Row],[Attrition]]="Yes",1,0)</f>
        <v>0</v>
      </c>
      <c r="AK855" t="str">
        <f t="shared" si="26"/>
        <v>Young</v>
      </c>
      <c r="AL855" t="str">
        <f t="shared" si="27"/>
        <v>Low Income</v>
      </c>
    </row>
    <row r="856" spans="1:38"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IF(Table1[[#This Row],[Attrition]]="Yes",1,0)</f>
        <v>0</v>
      </c>
      <c r="AK856" t="str">
        <f t="shared" si="26"/>
        <v>Experienced</v>
      </c>
      <c r="AL856" t="str">
        <f t="shared" si="27"/>
        <v>Medium Income</v>
      </c>
    </row>
    <row r="857" spans="1:38"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IF(Table1[[#This Row],[Attrition]]="Yes",1,0)</f>
        <v>0</v>
      </c>
      <c r="AK857" t="str">
        <f t="shared" si="26"/>
        <v>Mid Career</v>
      </c>
      <c r="AL857" t="str">
        <f t="shared" si="27"/>
        <v>Medium Income</v>
      </c>
    </row>
    <row r="858" spans="1:38"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IF(Table1[[#This Row],[Attrition]]="Yes",1,0)</f>
        <v>0</v>
      </c>
      <c r="AK858" t="str">
        <f t="shared" si="26"/>
        <v>Young</v>
      </c>
      <c r="AL858" t="str">
        <f t="shared" si="27"/>
        <v>Medium Income</v>
      </c>
    </row>
    <row r="859" spans="1:38"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IF(Table1[[#This Row],[Attrition]]="Yes",1,0)</f>
        <v>1</v>
      </c>
      <c r="AK859" t="str">
        <f t="shared" si="26"/>
        <v>Experienced</v>
      </c>
      <c r="AL859" t="str">
        <f t="shared" si="27"/>
        <v>Low Income</v>
      </c>
    </row>
    <row r="860" spans="1:38"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IF(Table1[[#This Row],[Attrition]]="Yes",1,0)</f>
        <v>0</v>
      </c>
      <c r="AK860" t="str">
        <f t="shared" si="26"/>
        <v>Senior</v>
      </c>
      <c r="AL860" t="str">
        <f t="shared" si="27"/>
        <v>High Income</v>
      </c>
    </row>
    <row r="861" spans="1:38"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IF(Table1[[#This Row],[Attrition]]="Yes",1,0)</f>
        <v>0</v>
      </c>
      <c r="AK861" t="str">
        <f t="shared" si="26"/>
        <v>Young</v>
      </c>
      <c r="AL861" t="str">
        <f t="shared" si="27"/>
        <v>Low Income</v>
      </c>
    </row>
    <row r="862" spans="1:38"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IF(Table1[[#This Row],[Attrition]]="Yes",1,0)</f>
        <v>1</v>
      </c>
      <c r="AK862" t="str">
        <f t="shared" si="26"/>
        <v>Young</v>
      </c>
      <c r="AL862" t="str">
        <f t="shared" si="27"/>
        <v>Low Income</v>
      </c>
    </row>
    <row r="863" spans="1:38"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IF(Table1[[#This Row],[Attrition]]="Yes",1,0)</f>
        <v>0</v>
      </c>
      <c r="AK863" t="str">
        <f t="shared" si="26"/>
        <v>Experienced</v>
      </c>
      <c r="AL863" t="str">
        <f t="shared" si="27"/>
        <v>High Income</v>
      </c>
    </row>
    <row r="864" spans="1:38"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IF(Table1[[#This Row],[Attrition]]="Yes",1,0)</f>
        <v>0</v>
      </c>
      <c r="AK864" t="str">
        <f t="shared" si="26"/>
        <v>Experienced</v>
      </c>
      <c r="AL864" t="str">
        <f t="shared" si="27"/>
        <v>Low Income</v>
      </c>
    </row>
    <row r="865" spans="1:38"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IF(Table1[[#This Row],[Attrition]]="Yes",1,0)</f>
        <v>0</v>
      </c>
      <c r="AK865" t="str">
        <f t="shared" si="26"/>
        <v>Mid Career</v>
      </c>
      <c r="AL865" t="str">
        <f t="shared" si="27"/>
        <v>Medium Income</v>
      </c>
    </row>
    <row r="866" spans="1:38"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IF(Table1[[#This Row],[Attrition]]="Yes",1,0)</f>
        <v>1</v>
      </c>
      <c r="AK866" t="str">
        <f t="shared" si="26"/>
        <v>Experienced</v>
      </c>
      <c r="AL866" t="str">
        <f t="shared" si="27"/>
        <v>Low Income</v>
      </c>
    </row>
    <row r="867" spans="1:38"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IF(Table1[[#This Row],[Attrition]]="Yes",1,0)</f>
        <v>0</v>
      </c>
      <c r="AK867" t="str">
        <f t="shared" si="26"/>
        <v>Mid Career</v>
      </c>
      <c r="AL867" t="str">
        <f t="shared" si="27"/>
        <v>Medium Income</v>
      </c>
    </row>
    <row r="868" spans="1:38"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IF(Table1[[#This Row],[Attrition]]="Yes",1,0)</f>
        <v>0</v>
      </c>
      <c r="AK868" t="str">
        <f t="shared" si="26"/>
        <v>Experienced</v>
      </c>
      <c r="AL868" t="str">
        <f t="shared" si="27"/>
        <v>Medium Income</v>
      </c>
    </row>
    <row r="869" spans="1:38"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IF(Table1[[#This Row],[Attrition]]="Yes",1,0)</f>
        <v>0</v>
      </c>
      <c r="AK869" t="str">
        <f t="shared" si="26"/>
        <v>Senior</v>
      </c>
      <c r="AL869" t="str">
        <f t="shared" si="27"/>
        <v>High Income</v>
      </c>
    </row>
    <row r="870" spans="1:38"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IF(Table1[[#This Row],[Attrition]]="Yes",1,0)</f>
        <v>0</v>
      </c>
      <c r="AK870" t="str">
        <f t="shared" si="26"/>
        <v>Young</v>
      </c>
      <c r="AL870" t="str">
        <f t="shared" si="27"/>
        <v>Medium Income</v>
      </c>
    </row>
    <row r="871" spans="1:38"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IF(Table1[[#This Row],[Attrition]]="Yes",1,0)</f>
        <v>0</v>
      </c>
      <c r="AK871" t="str">
        <f t="shared" si="26"/>
        <v>Experienced</v>
      </c>
      <c r="AL871" t="str">
        <f t="shared" si="27"/>
        <v>High Income</v>
      </c>
    </row>
    <row r="872" spans="1:38"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IF(Table1[[#This Row],[Attrition]]="Yes",1,0)</f>
        <v>0</v>
      </c>
      <c r="AK872" t="str">
        <f t="shared" si="26"/>
        <v>Mid Career</v>
      </c>
      <c r="AL872" t="str">
        <f t="shared" si="27"/>
        <v>High Income</v>
      </c>
    </row>
    <row r="873" spans="1:38"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IF(Table1[[#This Row],[Attrition]]="Yes",1,0)</f>
        <v>1</v>
      </c>
      <c r="AK873" t="str">
        <f t="shared" si="26"/>
        <v>Young</v>
      </c>
      <c r="AL873" t="str">
        <f t="shared" si="27"/>
        <v>Low Income</v>
      </c>
    </row>
    <row r="874" spans="1:38"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IF(Table1[[#This Row],[Attrition]]="Yes",1,0)</f>
        <v>0</v>
      </c>
      <c r="AK874" t="str">
        <f t="shared" si="26"/>
        <v>Mid Career</v>
      </c>
      <c r="AL874" t="str">
        <f t="shared" si="27"/>
        <v>Medium Income</v>
      </c>
    </row>
    <row r="875" spans="1:38"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IF(Table1[[#This Row],[Attrition]]="Yes",1,0)</f>
        <v>0</v>
      </c>
      <c r="AK875" t="str">
        <f t="shared" si="26"/>
        <v>Mid Career</v>
      </c>
      <c r="AL875" t="str">
        <f t="shared" si="27"/>
        <v>Low Income</v>
      </c>
    </row>
    <row r="876" spans="1:38"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IF(Table1[[#This Row],[Attrition]]="Yes",1,0)</f>
        <v>0</v>
      </c>
      <c r="AK876" t="str">
        <f t="shared" si="26"/>
        <v>Mid Career</v>
      </c>
      <c r="AL876" t="str">
        <f t="shared" si="27"/>
        <v>Medium Income</v>
      </c>
    </row>
    <row r="877" spans="1:38"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IF(Table1[[#This Row],[Attrition]]="Yes",1,0)</f>
        <v>0</v>
      </c>
      <c r="AK877" t="str">
        <f t="shared" si="26"/>
        <v>Experienced</v>
      </c>
      <c r="AL877" t="str">
        <f t="shared" si="27"/>
        <v>Medium Income</v>
      </c>
    </row>
    <row r="878" spans="1:38"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IF(Table1[[#This Row],[Attrition]]="Yes",1,0)</f>
        <v>0</v>
      </c>
      <c r="AK878" t="str">
        <f t="shared" si="26"/>
        <v>Young</v>
      </c>
      <c r="AL878" t="str">
        <f t="shared" si="27"/>
        <v>Low Income</v>
      </c>
    </row>
    <row r="879" spans="1:38"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IF(Table1[[#This Row],[Attrition]]="Yes",1,0)</f>
        <v>0</v>
      </c>
      <c r="AK879" t="str">
        <f t="shared" si="26"/>
        <v>Experienced</v>
      </c>
      <c r="AL879" t="str">
        <f t="shared" si="27"/>
        <v>High Income</v>
      </c>
    </row>
    <row r="880" spans="1:38"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IF(Table1[[#This Row],[Attrition]]="Yes",1,0)</f>
        <v>0</v>
      </c>
      <c r="AK880" t="str">
        <f t="shared" si="26"/>
        <v>Experienced</v>
      </c>
      <c r="AL880" t="str">
        <f t="shared" si="27"/>
        <v>Medium Income</v>
      </c>
    </row>
    <row r="881" spans="1:38"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IF(Table1[[#This Row],[Attrition]]="Yes",1,0)</f>
        <v>0</v>
      </c>
      <c r="AK881" t="str">
        <f t="shared" si="26"/>
        <v>Senior</v>
      </c>
      <c r="AL881" t="str">
        <f t="shared" si="27"/>
        <v>Medium Income</v>
      </c>
    </row>
    <row r="882" spans="1:38"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IF(Table1[[#This Row],[Attrition]]="Yes",1,0)</f>
        <v>0</v>
      </c>
      <c r="AK882" t="str">
        <f t="shared" si="26"/>
        <v>Mid Career</v>
      </c>
      <c r="AL882" t="str">
        <f t="shared" si="27"/>
        <v>Low Income</v>
      </c>
    </row>
    <row r="883" spans="1:38"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IF(Table1[[#This Row],[Attrition]]="Yes",1,0)</f>
        <v>0</v>
      </c>
      <c r="AK883" t="str">
        <f t="shared" si="26"/>
        <v>Mid Career</v>
      </c>
      <c r="AL883" t="str">
        <f t="shared" si="27"/>
        <v>Medium Income</v>
      </c>
    </row>
    <row r="884" spans="1:38"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IF(Table1[[#This Row],[Attrition]]="Yes",1,0)</f>
        <v>0</v>
      </c>
      <c r="AK884" t="str">
        <f t="shared" si="26"/>
        <v>Mid Career</v>
      </c>
      <c r="AL884" t="str">
        <f t="shared" si="27"/>
        <v>High Income</v>
      </c>
    </row>
    <row r="885" spans="1:38"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IF(Table1[[#This Row],[Attrition]]="Yes",1,0)</f>
        <v>0</v>
      </c>
      <c r="AK885" t="str">
        <f t="shared" si="26"/>
        <v>Mid Career</v>
      </c>
      <c r="AL885" t="str">
        <f t="shared" si="27"/>
        <v>Low Income</v>
      </c>
    </row>
    <row r="886" spans="1:38"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IF(Table1[[#This Row],[Attrition]]="Yes",1,0)</f>
        <v>0</v>
      </c>
      <c r="AK886" t="str">
        <f t="shared" si="26"/>
        <v>Experienced</v>
      </c>
      <c r="AL886" t="str">
        <f t="shared" si="27"/>
        <v>Medium Income</v>
      </c>
    </row>
    <row r="887" spans="1:38"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IF(Table1[[#This Row],[Attrition]]="Yes",1,0)</f>
        <v>0</v>
      </c>
      <c r="AK887" t="str">
        <f t="shared" si="26"/>
        <v>Young</v>
      </c>
      <c r="AL887" t="str">
        <f t="shared" si="27"/>
        <v>Medium Income</v>
      </c>
    </row>
    <row r="888" spans="1:38"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IF(Table1[[#This Row],[Attrition]]="Yes",1,0)</f>
        <v>0</v>
      </c>
      <c r="AK888" t="str">
        <f t="shared" si="26"/>
        <v>Mid Career</v>
      </c>
      <c r="AL888" t="str">
        <f t="shared" si="27"/>
        <v>Medium Income</v>
      </c>
    </row>
    <row r="889" spans="1:38"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IF(Table1[[#This Row],[Attrition]]="Yes",1,0)</f>
        <v>0</v>
      </c>
      <c r="AK889" t="str">
        <f t="shared" si="26"/>
        <v>Experienced</v>
      </c>
      <c r="AL889" t="str">
        <f t="shared" si="27"/>
        <v>High Income</v>
      </c>
    </row>
    <row r="890" spans="1:38"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IF(Table1[[#This Row],[Attrition]]="Yes",1,0)</f>
        <v>0</v>
      </c>
      <c r="AK890" t="str">
        <f t="shared" si="26"/>
        <v>Mid Career</v>
      </c>
      <c r="AL890" t="str">
        <f t="shared" si="27"/>
        <v>High Income</v>
      </c>
    </row>
    <row r="891" spans="1:38"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IF(Table1[[#This Row],[Attrition]]="Yes",1,0)</f>
        <v>0</v>
      </c>
      <c r="AK891" t="str">
        <f t="shared" si="26"/>
        <v>Young</v>
      </c>
      <c r="AL891" t="str">
        <f t="shared" si="27"/>
        <v>Low Income</v>
      </c>
    </row>
    <row r="892" spans="1:38"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IF(Table1[[#This Row],[Attrition]]="Yes",1,0)</f>
        <v>0</v>
      </c>
      <c r="AK892" t="str">
        <f t="shared" si="26"/>
        <v>Senior</v>
      </c>
      <c r="AL892" t="str">
        <f t="shared" si="27"/>
        <v>High Income</v>
      </c>
    </row>
    <row r="893" spans="1:38"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IF(Table1[[#This Row],[Attrition]]="Yes",1,0)</f>
        <v>0</v>
      </c>
      <c r="AK893" t="str">
        <f t="shared" si="26"/>
        <v>Experienced</v>
      </c>
      <c r="AL893" t="str">
        <f t="shared" si="27"/>
        <v>Low Income</v>
      </c>
    </row>
    <row r="894" spans="1:38"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IF(Table1[[#This Row],[Attrition]]="Yes",1,0)</f>
        <v>1</v>
      </c>
      <c r="AK894" t="str">
        <f t="shared" si="26"/>
        <v>Young</v>
      </c>
      <c r="AL894" t="str">
        <f t="shared" si="27"/>
        <v>Low Income</v>
      </c>
    </row>
    <row r="895" spans="1:38"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IF(Table1[[#This Row],[Attrition]]="Yes",1,0)</f>
        <v>0</v>
      </c>
      <c r="AK895" t="str">
        <f t="shared" si="26"/>
        <v>Young</v>
      </c>
      <c r="AL895" t="str">
        <f t="shared" si="27"/>
        <v>Medium Income</v>
      </c>
    </row>
    <row r="896" spans="1:38"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IF(Table1[[#This Row],[Attrition]]="Yes",1,0)</f>
        <v>0</v>
      </c>
      <c r="AK896" t="str">
        <f t="shared" si="26"/>
        <v>Senior</v>
      </c>
      <c r="AL896" t="str">
        <f t="shared" si="27"/>
        <v>High Income</v>
      </c>
    </row>
    <row r="897" spans="1:38"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IF(Table1[[#This Row],[Attrition]]="Yes",1,0)</f>
        <v>0</v>
      </c>
      <c r="AK897" t="str">
        <f t="shared" si="26"/>
        <v>Mid Career</v>
      </c>
      <c r="AL897" t="str">
        <f t="shared" si="27"/>
        <v>Medium Income</v>
      </c>
    </row>
    <row r="898" spans="1:38"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IF(Table1[[#This Row],[Attrition]]="Yes",1,0)</f>
        <v>0</v>
      </c>
      <c r="AK898" t="str">
        <f t="shared" ref="AK898:AK961" si="28">IF(A898&lt;30,"Young",
IF(A898&lt;40,"Mid Career",
IF(A898&lt;50,"Experienced","Senior")))</f>
        <v>Mid Career</v>
      </c>
      <c r="AL898" t="str">
        <f t="shared" ref="AL898:AL961" si="29">IF(S898&lt;3000,"Low Income",IF(S898&lt;7000,"Medium Income","High Income"))</f>
        <v>Medium Income</v>
      </c>
    </row>
    <row r="899" spans="1:38"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IF(Table1[[#This Row],[Attrition]]="Yes",1,0)</f>
        <v>0</v>
      </c>
      <c r="AK899" t="str">
        <f t="shared" si="28"/>
        <v>Senior</v>
      </c>
      <c r="AL899" t="str">
        <f t="shared" si="29"/>
        <v>Medium Income</v>
      </c>
    </row>
    <row r="900" spans="1:38"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IF(Table1[[#This Row],[Attrition]]="Yes",1,0)</f>
        <v>0</v>
      </c>
      <c r="AK900" t="str">
        <f t="shared" si="28"/>
        <v>Experienced</v>
      </c>
      <c r="AL900" t="str">
        <f t="shared" si="29"/>
        <v>High Income</v>
      </c>
    </row>
    <row r="901" spans="1:38"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IF(Table1[[#This Row],[Attrition]]="Yes",1,0)</f>
        <v>0</v>
      </c>
      <c r="AK901" t="str">
        <f t="shared" si="28"/>
        <v>Experienced</v>
      </c>
      <c r="AL901" t="str">
        <f t="shared" si="29"/>
        <v>High Income</v>
      </c>
    </row>
    <row r="902" spans="1:38"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IF(Table1[[#This Row],[Attrition]]="Yes",1,0)</f>
        <v>0</v>
      </c>
      <c r="AK902" t="str">
        <f t="shared" si="28"/>
        <v>Mid Career</v>
      </c>
      <c r="AL902" t="str">
        <f t="shared" si="29"/>
        <v>Medium Income</v>
      </c>
    </row>
    <row r="903" spans="1:38"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IF(Table1[[#This Row],[Attrition]]="Yes",1,0)</f>
        <v>0</v>
      </c>
      <c r="AK903" t="str">
        <f t="shared" si="28"/>
        <v>Experienced</v>
      </c>
      <c r="AL903" t="str">
        <f t="shared" si="29"/>
        <v>Low Income</v>
      </c>
    </row>
    <row r="904" spans="1:38"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IF(Table1[[#This Row],[Attrition]]="Yes",1,0)</f>
        <v>0</v>
      </c>
      <c r="AK904" t="str">
        <f t="shared" si="28"/>
        <v>Young</v>
      </c>
      <c r="AL904" t="str">
        <f t="shared" si="29"/>
        <v>Low Income</v>
      </c>
    </row>
    <row r="905" spans="1:38"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IF(Table1[[#This Row],[Attrition]]="Yes",1,0)</f>
        <v>0</v>
      </c>
      <c r="AK905" t="str">
        <f t="shared" si="28"/>
        <v>Young</v>
      </c>
      <c r="AL905" t="str">
        <f t="shared" si="29"/>
        <v>Medium Income</v>
      </c>
    </row>
    <row r="906" spans="1:38"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IF(Table1[[#This Row],[Attrition]]="Yes",1,0)</f>
        <v>0</v>
      </c>
      <c r="AK906" t="str">
        <f t="shared" si="28"/>
        <v>Experienced</v>
      </c>
      <c r="AL906" t="str">
        <f t="shared" si="29"/>
        <v>High Income</v>
      </c>
    </row>
    <row r="907" spans="1:38"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IF(Table1[[#This Row],[Attrition]]="Yes",1,0)</f>
        <v>0</v>
      </c>
      <c r="AK907" t="str">
        <f t="shared" si="28"/>
        <v>Young</v>
      </c>
      <c r="AL907" t="str">
        <f t="shared" si="29"/>
        <v>High Income</v>
      </c>
    </row>
    <row r="908" spans="1:38"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IF(Table1[[#This Row],[Attrition]]="Yes",1,0)</f>
        <v>0</v>
      </c>
      <c r="AK908" t="str">
        <f t="shared" si="28"/>
        <v>Mid Career</v>
      </c>
      <c r="AL908" t="str">
        <f t="shared" si="29"/>
        <v>Low Income</v>
      </c>
    </row>
    <row r="909" spans="1:38"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IF(Table1[[#This Row],[Attrition]]="Yes",1,0)</f>
        <v>0</v>
      </c>
      <c r="AK909" t="str">
        <f t="shared" si="28"/>
        <v>Experienced</v>
      </c>
      <c r="AL909" t="str">
        <f t="shared" si="29"/>
        <v>High Income</v>
      </c>
    </row>
    <row r="910" spans="1:38"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IF(Table1[[#This Row],[Attrition]]="Yes",1,0)</f>
        <v>0</v>
      </c>
      <c r="AK910" t="str">
        <f t="shared" si="28"/>
        <v>Mid Career</v>
      </c>
      <c r="AL910" t="str">
        <f t="shared" si="29"/>
        <v>High Income</v>
      </c>
    </row>
    <row r="911" spans="1:38"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IF(Table1[[#This Row],[Attrition]]="Yes",1,0)</f>
        <v>0</v>
      </c>
      <c r="AK911" t="str">
        <f t="shared" si="28"/>
        <v>Young</v>
      </c>
      <c r="AL911" t="str">
        <f t="shared" si="29"/>
        <v>Low Income</v>
      </c>
    </row>
    <row r="912" spans="1:38"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IF(Table1[[#This Row],[Attrition]]="Yes",1,0)</f>
        <v>0</v>
      </c>
      <c r="AK912" t="str">
        <f t="shared" si="28"/>
        <v>Young</v>
      </c>
      <c r="AL912" t="str">
        <f t="shared" si="29"/>
        <v>Low Income</v>
      </c>
    </row>
    <row r="913" spans="1:38"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IF(Table1[[#This Row],[Attrition]]="Yes",1,0)</f>
        <v>1</v>
      </c>
      <c r="AK913" t="str">
        <f t="shared" si="28"/>
        <v>Young</v>
      </c>
      <c r="AL913" t="str">
        <f t="shared" si="29"/>
        <v>Low Income</v>
      </c>
    </row>
    <row r="914" spans="1:38"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IF(Table1[[#This Row],[Attrition]]="Yes",1,0)</f>
        <v>0</v>
      </c>
      <c r="AK914" t="str">
        <f t="shared" si="28"/>
        <v>Young</v>
      </c>
      <c r="AL914" t="str">
        <f t="shared" si="29"/>
        <v>Low Income</v>
      </c>
    </row>
    <row r="915" spans="1:38"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IF(Table1[[#This Row],[Attrition]]="Yes",1,0)</f>
        <v>1</v>
      </c>
      <c r="AK915" t="str">
        <f t="shared" si="28"/>
        <v>Experienced</v>
      </c>
      <c r="AL915" t="str">
        <f t="shared" si="29"/>
        <v>High Income</v>
      </c>
    </row>
    <row r="916" spans="1:38"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IF(Table1[[#This Row],[Attrition]]="Yes",1,0)</f>
        <v>0</v>
      </c>
      <c r="AK916" t="str">
        <f t="shared" si="28"/>
        <v>Senior</v>
      </c>
      <c r="AL916" t="str">
        <f t="shared" si="29"/>
        <v>High Income</v>
      </c>
    </row>
    <row r="917" spans="1:38"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IF(Table1[[#This Row],[Attrition]]="Yes",1,0)</f>
        <v>1</v>
      </c>
      <c r="AK917" t="str">
        <f t="shared" si="28"/>
        <v>Young</v>
      </c>
      <c r="AL917" t="str">
        <f t="shared" si="29"/>
        <v>Low Income</v>
      </c>
    </row>
    <row r="918" spans="1:38"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IF(Table1[[#This Row],[Attrition]]="Yes",1,0)</f>
        <v>0</v>
      </c>
      <c r="AK918" t="str">
        <f t="shared" si="28"/>
        <v>Experienced</v>
      </c>
      <c r="AL918" t="str">
        <f t="shared" si="29"/>
        <v>High Income</v>
      </c>
    </row>
    <row r="919" spans="1:38"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IF(Table1[[#This Row],[Attrition]]="Yes",1,0)</f>
        <v>0</v>
      </c>
      <c r="AK919" t="str">
        <f t="shared" si="28"/>
        <v>Mid Career</v>
      </c>
      <c r="AL919" t="str">
        <f t="shared" si="29"/>
        <v>Medium Income</v>
      </c>
    </row>
    <row r="920" spans="1:38"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IF(Table1[[#This Row],[Attrition]]="Yes",1,0)</f>
        <v>0</v>
      </c>
      <c r="AK920" t="str">
        <f t="shared" si="28"/>
        <v>Senior</v>
      </c>
      <c r="AL920" t="str">
        <f t="shared" si="29"/>
        <v>High Income</v>
      </c>
    </row>
    <row r="921" spans="1:38"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IF(Table1[[#This Row],[Attrition]]="Yes",1,0)</f>
        <v>0</v>
      </c>
      <c r="AK921" t="str">
        <f t="shared" si="28"/>
        <v>Senior</v>
      </c>
      <c r="AL921" t="str">
        <f t="shared" si="29"/>
        <v>High Income</v>
      </c>
    </row>
    <row r="922" spans="1:38"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IF(Table1[[#This Row],[Attrition]]="Yes",1,0)</f>
        <v>0</v>
      </c>
      <c r="AK922" t="str">
        <f t="shared" si="28"/>
        <v>Mid Career</v>
      </c>
      <c r="AL922" t="str">
        <f t="shared" si="29"/>
        <v>Medium Income</v>
      </c>
    </row>
    <row r="923" spans="1:38"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IF(Table1[[#This Row],[Attrition]]="Yes",1,0)</f>
        <v>0</v>
      </c>
      <c r="AK923" t="str">
        <f t="shared" si="28"/>
        <v>Young</v>
      </c>
      <c r="AL923" t="str">
        <f t="shared" si="29"/>
        <v>Low Income</v>
      </c>
    </row>
    <row r="924" spans="1:38"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IF(Table1[[#This Row],[Attrition]]="Yes",1,0)</f>
        <v>0</v>
      </c>
      <c r="AK924" t="str">
        <f t="shared" si="28"/>
        <v>Experienced</v>
      </c>
      <c r="AL924" t="str">
        <f t="shared" si="29"/>
        <v>High Income</v>
      </c>
    </row>
    <row r="925" spans="1:38"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IF(Table1[[#This Row],[Attrition]]="Yes",1,0)</f>
        <v>0</v>
      </c>
      <c r="AK925" t="str">
        <f t="shared" si="28"/>
        <v>Mid Career</v>
      </c>
      <c r="AL925" t="str">
        <f t="shared" si="29"/>
        <v>Medium Income</v>
      </c>
    </row>
    <row r="926" spans="1:38"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IF(Table1[[#This Row],[Attrition]]="Yes",1,0)</f>
        <v>0</v>
      </c>
      <c r="AK926" t="str">
        <f t="shared" si="28"/>
        <v>Mid Career</v>
      </c>
      <c r="AL926" t="str">
        <f t="shared" si="29"/>
        <v>Medium Income</v>
      </c>
    </row>
    <row r="927" spans="1:38"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IF(Table1[[#This Row],[Attrition]]="Yes",1,0)</f>
        <v>0</v>
      </c>
      <c r="AK927" t="str">
        <f t="shared" si="28"/>
        <v>Experienced</v>
      </c>
      <c r="AL927" t="str">
        <f t="shared" si="29"/>
        <v>Low Income</v>
      </c>
    </row>
    <row r="928" spans="1:38"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IF(Table1[[#This Row],[Attrition]]="Yes",1,0)</f>
        <v>0</v>
      </c>
      <c r="AK928" t="str">
        <f t="shared" si="28"/>
        <v>Experienced</v>
      </c>
      <c r="AL928" t="str">
        <f t="shared" si="29"/>
        <v>High Income</v>
      </c>
    </row>
    <row r="929" spans="1:38"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IF(Table1[[#This Row],[Attrition]]="Yes",1,0)</f>
        <v>0</v>
      </c>
      <c r="AK929" t="str">
        <f t="shared" si="28"/>
        <v>Mid Career</v>
      </c>
      <c r="AL929" t="str">
        <f t="shared" si="29"/>
        <v>Medium Income</v>
      </c>
    </row>
    <row r="930" spans="1:38"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IF(Table1[[#This Row],[Attrition]]="Yes",1,0)</f>
        <v>1</v>
      </c>
      <c r="AK930" t="str">
        <f t="shared" si="28"/>
        <v>Experienced</v>
      </c>
      <c r="AL930" t="str">
        <f t="shared" si="29"/>
        <v>High Income</v>
      </c>
    </row>
    <row r="931" spans="1:38"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IF(Table1[[#This Row],[Attrition]]="Yes",1,0)</f>
        <v>0</v>
      </c>
      <c r="AK931" t="str">
        <f t="shared" si="28"/>
        <v>Young</v>
      </c>
      <c r="AL931" t="str">
        <f t="shared" si="29"/>
        <v>Medium Income</v>
      </c>
    </row>
    <row r="932" spans="1:38"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IF(Table1[[#This Row],[Attrition]]="Yes",1,0)</f>
        <v>0</v>
      </c>
      <c r="AK932" t="str">
        <f t="shared" si="28"/>
        <v>Senior</v>
      </c>
      <c r="AL932" t="str">
        <f t="shared" si="29"/>
        <v>Low Income</v>
      </c>
    </row>
    <row r="933" spans="1:38"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IF(Table1[[#This Row],[Attrition]]="Yes",1,0)</f>
        <v>0</v>
      </c>
      <c r="AK933" t="str">
        <f t="shared" si="28"/>
        <v>Mid Career</v>
      </c>
      <c r="AL933" t="str">
        <f t="shared" si="29"/>
        <v>Medium Income</v>
      </c>
    </row>
    <row r="934" spans="1:38"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IF(Table1[[#This Row],[Attrition]]="Yes",1,0)</f>
        <v>1</v>
      </c>
      <c r="AK934" t="str">
        <f t="shared" si="28"/>
        <v>Young</v>
      </c>
      <c r="AL934" t="str">
        <f t="shared" si="29"/>
        <v>Medium Income</v>
      </c>
    </row>
    <row r="935" spans="1:38"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IF(Table1[[#This Row],[Attrition]]="Yes",1,0)</f>
        <v>0</v>
      </c>
      <c r="AK935" t="str">
        <f t="shared" si="28"/>
        <v>Young</v>
      </c>
      <c r="AL935" t="str">
        <f t="shared" si="29"/>
        <v>Low Income</v>
      </c>
    </row>
    <row r="936" spans="1:38"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IF(Table1[[#This Row],[Attrition]]="Yes",1,0)</f>
        <v>0</v>
      </c>
      <c r="AK936" t="str">
        <f t="shared" si="28"/>
        <v>Young</v>
      </c>
      <c r="AL936" t="str">
        <f t="shared" si="29"/>
        <v>Low Income</v>
      </c>
    </row>
    <row r="937" spans="1:38"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IF(Table1[[#This Row],[Attrition]]="Yes",1,0)</f>
        <v>0</v>
      </c>
      <c r="AK937" t="str">
        <f t="shared" si="28"/>
        <v>Mid Career</v>
      </c>
      <c r="AL937" t="str">
        <f t="shared" si="29"/>
        <v>Medium Income</v>
      </c>
    </row>
    <row r="938" spans="1:38"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IF(Table1[[#This Row],[Attrition]]="Yes",1,0)</f>
        <v>0</v>
      </c>
      <c r="AK938" t="str">
        <f t="shared" si="28"/>
        <v>Experienced</v>
      </c>
      <c r="AL938" t="str">
        <f t="shared" si="29"/>
        <v>High Income</v>
      </c>
    </row>
    <row r="939" spans="1:38"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IF(Table1[[#This Row],[Attrition]]="Yes",1,0)</f>
        <v>0</v>
      </c>
      <c r="AK939" t="str">
        <f t="shared" si="28"/>
        <v>Mid Career</v>
      </c>
      <c r="AL939" t="str">
        <f t="shared" si="29"/>
        <v>High Income</v>
      </c>
    </row>
    <row r="940" spans="1:38"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IF(Table1[[#This Row],[Attrition]]="Yes",1,0)</f>
        <v>0</v>
      </c>
      <c r="AK940" t="str">
        <f t="shared" si="28"/>
        <v>Senior</v>
      </c>
      <c r="AL940" t="str">
        <f t="shared" si="29"/>
        <v>Low Income</v>
      </c>
    </row>
    <row r="941" spans="1:38"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IF(Table1[[#This Row],[Attrition]]="Yes",1,0)</f>
        <v>1</v>
      </c>
      <c r="AK941" t="str">
        <f t="shared" si="28"/>
        <v>Mid Career</v>
      </c>
      <c r="AL941" t="str">
        <f t="shared" si="29"/>
        <v>Medium Income</v>
      </c>
    </row>
    <row r="942" spans="1:38"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IF(Table1[[#This Row],[Attrition]]="Yes",1,0)</f>
        <v>1</v>
      </c>
      <c r="AK942" t="str">
        <f t="shared" si="28"/>
        <v>Mid Career</v>
      </c>
      <c r="AL942" t="str">
        <f t="shared" si="29"/>
        <v>Medium Income</v>
      </c>
    </row>
    <row r="943" spans="1:38"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IF(Table1[[#This Row],[Attrition]]="Yes",1,0)</f>
        <v>0</v>
      </c>
      <c r="AK943" t="str">
        <f t="shared" si="28"/>
        <v>Mid Career</v>
      </c>
      <c r="AL943" t="str">
        <f t="shared" si="29"/>
        <v>Medium Income</v>
      </c>
    </row>
    <row r="944" spans="1:38"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IF(Table1[[#This Row],[Attrition]]="Yes",1,0)</f>
        <v>0</v>
      </c>
      <c r="AK944" t="str">
        <f t="shared" si="28"/>
        <v>Mid Career</v>
      </c>
      <c r="AL944" t="str">
        <f t="shared" si="29"/>
        <v>High Income</v>
      </c>
    </row>
    <row r="945" spans="1:38"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IF(Table1[[#This Row],[Attrition]]="Yes",1,0)</f>
        <v>0</v>
      </c>
      <c r="AK945" t="str">
        <f t="shared" si="28"/>
        <v>Experienced</v>
      </c>
      <c r="AL945" t="str">
        <f t="shared" si="29"/>
        <v>Medium Income</v>
      </c>
    </row>
    <row r="946" spans="1:38"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IF(Table1[[#This Row],[Attrition]]="Yes",1,0)</f>
        <v>0</v>
      </c>
      <c r="AK946" t="str">
        <f t="shared" si="28"/>
        <v>Young</v>
      </c>
      <c r="AL946" t="str">
        <f t="shared" si="29"/>
        <v>Medium Income</v>
      </c>
    </row>
    <row r="947" spans="1:38"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IF(Table1[[#This Row],[Attrition]]="Yes",1,0)</f>
        <v>0</v>
      </c>
      <c r="AK947" t="str">
        <f t="shared" si="28"/>
        <v>Senior</v>
      </c>
      <c r="AL947" t="str">
        <f t="shared" si="29"/>
        <v>High Income</v>
      </c>
    </row>
    <row r="948" spans="1:38"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IF(Table1[[#This Row],[Attrition]]="Yes",1,0)</f>
        <v>1</v>
      </c>
      <c r="AK948" t="str">
        <f t="shared" si="28"/>
        <v>Experienced</v>
      </c>
      <c r="AL948" t="str">
        <f t="shared" si="29"/>
        <v>High Income</v>
      </c>
    </row>
    <row r="949" spans="1:38"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IF(Table1[[#This Row],[Attrition]]="Yes",1,0)</f>
        <v>1</v>
      </c>
      <c r="AK949" t="str">
        <f t="shared" si="28"/>
        <v>Senior</v>
      </c>
      <c r="AL949" t="str">
        <f t="shared" si="29"/>
        <v>High Income</v>
      </c>
    </row>
    <row r="950" spans="1:38"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IF(Table1[[#This Row],[Attrition]]="Yes",1,0)</f>
        <v>0</v>
      </c>
      <c r="AK950" t="str">
        <f t="shared" si="28"/>
        <v>Mid Career</v>
      </c>
      <c r="AL950" t="str">
        <f t="shared" si="29"/>
        <v>High Income</v>
      </c>
    </row>
    <row r="951" spans="1:38"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IF(Table1[[#This Row],[Attrition]]="Yes",1,0)</f>
        <v>0</v>
      </c>
      <c r="AK951" t="str">
        <f t="shared" si="28"/>
        <v>Mid Career</v>
      </c>
      <c r="AL951" t="str">
        <f t="shared" si="29"/>
        <v>Medium Income</v>
      </c>
    </row>
    <row r="952" spans="1:38"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IF(Table1[[#This Row],[Attrition]]="Yes",1,0)</f>
        <v>0</v>
      </c>
      <c r="AK952" t="str">
        <f t="shared" si="28"/>
        <v>Mid Career</v>
      </c>
      <c r="AL952" t="str">
        <f t="shared" si="29"/>
        <v>High Income</v>
      </c>
    </row>
    <row r="953" spans="1:38"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IF(Table1[[#This Row],[Attrition]]="Yes",1,0)</f>
        <v>0</v>
      </c>
      <c r="AK953" t="str">
        <f t="shared" si="28"/>
        <v>Experienced</v>
      </c>
      <c r="AL953" t="str">
        <f t="shared" si="29"/>
        <v>Medium Income</v>
      </c>
    </row>
    <row r="954" spans="1:38"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IF(Table1[[#This Row],[Attrition]]="Yes",1,0)</f>
        <v>1</v>
      </c>
      <c r="AK954" t="str">
        <f t="shared" si="28"/>
        <v>Mid Career</v>
      </c>
      <c r="AL954" t="str">
        <f t="shared" si="29"/>
        <v>Low Income</v>
      </c>
    </row>
    <row r="955" spans="1:38"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IF(Table1[[#This Row],[Attrition]]="Yes",1,0)</f>
        <v>1</v>
      </c>
      <c r="AK955" t="str">
        <f t="shared" si="28"/>
        <v>Experienced</v>
      </c>
      <c r="AL955" t="str">
        <f t="shared" si="29"/>
        <v>Low Income</v>
      </c>
    </row>
    <row r="956" spans="1:38"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IF(Table1[[#This Row],[Attrition]]="Yes",1,0)</f>
        <v>0</v>
      </c>
      <c r="AK956" t="str">
        <f t="shared" si="28"/>
        <v>Experienced</v>
      </c>
      <c r="AL956" t="str">
        <f t="shared" si="29"/>
        <v>High Income</v>
      </c>
    </row>
    <row r="957" spans="1:38"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IF(Table1[[#This Row],[Attrition]]="Yes",1,0)</f>
        <v>0</v>
      </c>
      <c r="AK957" t="str">
        <f t="shared" si="28"/>
        <v>Senior</v>
      </c>
      <c r="AL957" t="str">
        <f t="shared" si="29"/>
        <v>High Income</v>
      </c>
    </row>
    <row r="958" spans="1:38"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IF(Table1[[#This Row],[Attrition]]="Yes",1,0)</f>
        <v>0</v>
      </c>
      <c r="AK958" t="str">
        <f t="shared" si="28"/>
        <v>Senior</v>
      </c>
      <c r="AL958" t="str">
        <f t="shared" si="29"/>
        <v>High Income</v>
      </c>
    </row>
    <row r="959" spans="1:38"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IF(Table1[[#This Row],[Attrition]]="Yes",1,0)</f>
        <v>0</v>
      </c>
      <c r="AK959" t="str">
        <f t="shared" si="28"/>
        <v>Experienced</v>
      </c>
      <c r="AL959" t="str">
        <f t="shared" si="29"/>
        <v>Medium Income</v>
      </c>
    </row>
    <row r="960" spans="1:38"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IF(Table1[[#This Row],[Attrition]]="Yes",1,0)</f>
        <v>0</v>
      </c>
      <c r="AK960" t="str">
        <f t="shared" si="28"/>
        <v>Mid Career</v>
      </c>
      <c r="AL960" t="str">
        <f t="shared" si="29"/>
        <v>High Income</v>
      </c>
    </row>
    <row r="961" spans="1:38"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IF(Table1[[#This Row],[Attrition]]="Yes",1,0)</f>
        <v>0</v>
      </c>
      <c r="AK961" t="str">
        <f t="shared" si="28"/>
        <v>Experienced</v>
      </c>
      <c r="AL961" t="str">
        <f t="shared" si="29"/>
        <v>Medium Income</v>
      </c>
    </row>
    <row r="962" spans="1:38"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IF(Table1[[#This Row],[Attrition]]="Yes",1,0)</f>
        <v>0</v>
      </c>
      <c r="AK962" t="str">
        <f t="shared" ref="AK962:AK1025" si="30">IF(A962&lt;30,"Young",
IF(A962&lt;40,"Mid Career",
IF(A962&lt;50,"Experienced","Senior")))</f>
        <v>Experienced</v>
      </c>
      <c r="AL962" t="str">
        <f t="shared" ref="AL962:AL1025" si="31">IF(S962&lt;3000,"Low Income",IF(S962&lt;7000,"Medium Income","High Income"))</f>
        <v>Medium Income</v>
      </c>
    </row>
    <row r="963" spans="1:38"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IF(Table1[[#This Row],[Attrition]]="Yes",1,0)</f>
        <v>0</v>
      </c>
      <c r="AK963" t="str">
        <f t="shared" si="30"/>
        <v>Mid Career</v>
      </c>
      <c r="AL963" t="str">
        <f t="shared" si="31"/>
        <v>Medium Income</v>
      </c>
    </row>
    <row r="964" spans="1:38"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IF(Table1[[#This Row],[Attrition]]="Yes",1,0)</f>
        <v>0</v>
      </c>
      <c r="AK964" t="str">
        <f t="shared" si="30"/>
        <v>Senior</v>
      </c>
      <c r="AL964" t="str">
        <f t="shared" si="31"/>
        <v>High Income</v>
      </c>
    </row>
    <row r="965" spans="1:38"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IF(Table1[[#This Row],[Attrition]]="Yes",1,0)</f>
        <v>0</v>
      </c>
      <c r="AK965" t="str">
        <f t="shared" si="30"/>
        <v>Mid Career</v>
      </c>
      <c r="AL965" t="str">
        <f t="shared" si="31"/>
        <v>Medium Income</v>
      </c>
    </row>
    <row r="966" spans="1:38"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IF(Table1[[#This Row],[Attrition]]="Yes",1,0)</f>
        <v>0</v>
      </c>
      <c r="AK966" t="str">
        <f t="shared" si="30"/>
        <v>Mid Career</v>
      </c>
      <c r="AL966" t="str">
        <f t="shared" si="31"/>
        <v>Medium Income</v>
      </c>
    </row>
    <row r="967" spans="1:38"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IF(Table1[[#This Row],[Attrition]]="Yes",1,0)</f>
        <v>0</v>
      </c>
      <c r="AK967" t="str">
        <f t="shared" si="30"/>
        <v>Young</v>
      </c>
      <c r="AL967" t="str">
        <f t="shared" si="31"/>
        <v>Medium Income</v>
      </c>
    </row>
    <row r="968" spans="1:38"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IF(Table1[[#This Row],[Attrition]]="Yes",1,0)</f>
        <v>1</v>
      </c>
      <c r="AK968" t="str">
        <f t="shared" si="30"/>
        <v>Senior</v>
      </c>
      <c r="AL968" t="str">
        <f t="shared" si="31"/>
        <v>High Income</v>
      </c>
    </row>
    <row r="969" spans="1:38"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IF(Table1[[#This Row],[Attrition]]="Yes",1,0)</f>
        <v>0</v>
      </c>
      <c r="AK969" t="str">
        <f t="shared" si="30"/>
        <v>Experienced</v>
      </c>
      <c r="AL969" t="str">
        <f t="shared" si="31"/>
        <v>Low Income</v>
      </c>
    </row>
    <row r="970" spans="1:38"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IF(Table1[[#This Row],[Attrition]]="Yes",1,0)</f>
        <v>0</v>
      </c>
      <c r="AK970" t="str">
        <f t="shared" si="30"/>
        <v>Mid Career</v>
      </c>
      <c r="AL970" t="str">
        <f t="shared" si="31"/>
        <v>Medium Income</v>
      </c>
    </row>
    <row r="971" spans="1:38"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IF(Table1[[#This Row],[Attrition]]="Yes",1,0)</f>
        <v>0</v>
      </c>
      <c r="AK971" t="str">
        <f t="shared" si="30"/>
        <v>Experienced</v>
      </c>
      <c r="AL971" t="str">
        <f t="shared" si="31"/>
        <v>High Income</v>
      </c>
    </row>
    <row r="972" spans="1:38"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IF(Table1[[#This Row],[Attrition]]="Yes",1,0)</f>
        <v>0</v>
      </c>
      <c r="AK972" t="str">
        <f t="shared" si="30"/>
        <v>Young</v>
      </c>
      <c r="AL972" t="str">
        <f t="shared" si="31"/>
        <v>Low Income</v>
      </c>
    </row>
    <row r="973" spans="1:38"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IF(Table1[[#This Row],[Attrition]]="Yes",1,0)</f>
        <v>0</v>
      </c>
      <c r="AK973" t="str">
        <f t="shared" si="30"/>
        <v>Senior</v>
      </c>
      <c r="AL973" t="str">
        <f t="shared" si="31"/>
        <v>High Income</v>
      </c>
    </row>
    <row r="974" spans="1:38"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IF(Table1[[#This Row],[Attrition]]="Yes",1,0)</f>
        <v>0</v>
      </c>
      <c r="AK974" t="str">
        <f t="shared" si="30"/>
        <v>Young</v>
      </c>
      <c r="AL974" t="str">
        <f t="shared" si="31"/>
        <v>Low Income</v>
      </c>
    </row>
    <row r="975" spans="1:38"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IF(Table1[[#This Row],[Attrition]]="Yes",1,0)</f>
        <v>0</v>
      </c>
      <c r="AK975" t="str">
        <f t="shared" si="30"/>
        <v>Mid Career</v>
      </c>
      <c r="AL975" t="str">
        <f t="shared" si="31"/>
        <v>Medium Income</v>
      </c>
    </row>
    <row r="976" spans="1:38"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IF(Table1[[#This Row],[Attrition]]="Yes",1,0)</f>
        <v>0</v>
      </c>
      <c r="AK976" t="str">
        <f t="shared" si="30"/>
        <v>Young</v>
      </c>
      <c r="AL976" t="str">
        <f t="shared" si="31"/>
        <v>Medium Income</v>
      </c>
    </row>
    <row r="977" spans="1:38"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IF(Table1[[#This Row],[Attrition]]="Yes",1,0)</f>
        <v>1</v>
      </c>
      <c r="AK977" t="str">
        <f t="shared" si="30"/>
        <v>Senior</v>
      </c>
      <c r="AL977" t="str">
        <f t="shared" si="31"/>
        <v>High Income</v>
      </c>
    </row>
    <row r="978" spans="1:38"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IF(Table1[[#This Row],[Attrition]]="Yes",1,0)</f>
        <v>0</v>
      </c>
      <c r="AK978" t="str">
        <f t="shared" si="30"/>
        <v>Senior</v>
      </c>
      <c r="AL978" t="str">
        <f t="shared" si="31"/>
        <v>High Income</v>
      </c>
    </row>
    <row r="979" spans="1:38"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IF(Table1[[#This Row],[Attrition]]="Yes",1,0)</f>
        <v>0</v>
      </c>
      <c r="AK979" t="str">
        <f t="shared" si="30"/>
        <v>Mid Career</v>
      </c>
      <c r="AL979" t="str">
        <f t="shared" si="31"/>
        <v>Low Income</v>
      </c>
    </row>
    <row r="980" spans="1:38"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IF(Table1[[#This Row],[Attrition]]="Yes",1,0)</f>
        <v>0</v>
      </c>
      <c r="AK980" t="str">
        <f t="shared" si="30"/>
        <v>Experienced</v>
      </c>
      <c r="AL980" t="str">
        <f t="shared" si="31"/>
        <v>Medium Income</v>
      </c>
    </row>
    <row r="981" spans="1:38"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IF(Table1[[#This Row],[Attrition]]="Yes",1,0)</f>
        <v>0</v>
      </c>
      <c r="AK981" t="str">
        <f t="shared" si="30"/>
        <v>Mid Career</v>
      </c>
      <c r="AL981" t="str">
        <f t="shared" si="31"/>
        <v>Medium Income</v>
      </c>
    </row>
    <row r="982" spans="1:38"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IF(Table1[[#This Row],[Attrition]]="Yes",1,0)</f>
        <v>1</v>
      </c>
      <c r="AK982" t="str">
        <f t="shared" si="30"/>
        <v>Mid Career</v>
      </c>
      <c r="AL982" t="str">
        <f t="shared" si="31"/>
        <v>Low Income</v>
      </c>
    </row>
    <row r="983" spans="1:38"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IF(Table1[[#This Row],[Attrition]]="Yes",1,0)</f>
        <v>1</v>
      </c>
      <c r="AK983" t="str">
        <f t="shared" si="30"/>
        <v>Mid Career</v>
      </c>
      <c r="AL983" t="str">
        <f t="shared" si="31"/>
        <v>Medium Income</v>
      </c>
    </row>
    <row r="984" spans="1:38"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IF(Table1[[#This Row],[Attrition]]="Yes",1,0)</f>
        <v>0</v>
      </c>
      <c r="AK984" t="str">
        <f t="shared" si="30"/>
        <v>Mid Career</v>
      </c>
      <c r="AL984" t="str">
        <f t="shared" si="31"/>
        <v>Low Income</v>
      </c>
    </row>
    <row r="985" spans="1:38"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IF(Table1[[#This Row],[Attrition]]="Yes",1,0)</f>
        <v>0</v>
      </c>
      <c r="AK985" t="str">
        <f t="shared" si="30"/>
        <v>Mid Career</v>
      </c>
      <c r="AL985" t="str">
        <f t="shared" si="31"/>
        <v>Medium Income</v>
      </c>
    </row>
    <row r="986" spans="1:38"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IF(Table1[[#This Row],[Attrition]]="Yes",1,0)</f>
        <v>0</v>
      </c>
      <c r="AK986" t="str">
        <f t="shared" si="30"/>
        <v>Young</v>
      </c>
      <c r="AL986" t="str">
        <f t="shared" si="31"/>
        <v>Medium Income</v>
      </c>
    </row>
    <row r="987" spans="1:38"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IF(Table1[[#This Row],[Attrition]]="Yes",1,0)</f>
        <v>1</v>
      </c>
      <c r="AK987" t="str">
        <f t="shared" si="30"/>
        <v>Mid Career</v>
      </c>
      <c r="AL987" t="str">
        <f t="shared" si="31"/>
        <v>Medium Income</v>
      </c>
    </row>
    <row r="988" spans="1:38"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IF(Table1[[#This Row],[Attrition]]="Yes",1,0)</f>
        <v>0</v>
      </c>
      <c r="AK988" t="str">
        <f t="shared" si="30"/>
        <v>Mid Career</v>
      </c>
      <c r="AL988" t="str">
        <f t="shared" si="31"/>
        <v>Medium Income</v>
      </c>
    </row>
    <row r="989" spans="1:38"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IF(Table1[[#This Row],[Attrition]]="Yes",1,0)</f>
        <v>0</v>
      </c>
      <c r="AK989" t="str">
        <f t="shared" si="30"/>
        <v>Senior</v>
      </c>
      <c r="AL989" t="str">
        <f t="shared" si="31"/>
        <v>High Income</v>
      </c>
    </row>
    <row r="990" spans="1:38"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IF(Table1[[#This Row],[Attrition]]="Yes",1,0)</f>
        <v>0</v>
      </c>
      <c r="AK990" t="str">
        <f t="shared" si="30"/>
        <v>Experienced</v>
      </c>
      <c r="AL990" t="str">
        <f t="shared" si="31"/>
        <v>Medium Income</v>
      </c>
    </row>
    <row r="991" spans="1:38"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IF(Table1[[#This Row],[Attrition]]="Yes",1,0)</f>
        <v>0</v>
      </c>
      <c r="AK991" t="str">
        <f t="shared" si="30"/>
        <v>Mid Career</v>
      </c>
      <c r="AL991" t="str">
        <f t="shared" si="31"/>
        <v>Low Income</v>
      </c>
    </row>
    <row r="992" spans="1:38"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IF(Table1[[#This Row],[Attrition]]="Yes",1,0)</f>
        <v>0</v>
      </c>
      <c r="AK992" t="str">
        <f t="shared" si="30"/>
        <v>Mid Career</v>
      </c>
      <c r="AL992" t="str">
        <f t="shared" si="31"/>
        <v>High Income</v>
      </c>
    </row>
    <row r="993" spans="1:38"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IF(Table1[[#This Row],[Attrition]]="Yes",1,0)</f>
        <v>0</v>
      </c>
      <c r="AK993" t="str">
        <f t="shared" si="30"/>
        <v>Mid Career</v>
      </c>
      <c r="AL993" t="str">
        <f t="shared" si="31"/>
        <v>Medium Income</v>
      </c>
    </row>
    <row r="994" spans="1:38"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IF(Table1[[#This Row],[Attrition]]="Yes",1,0)</f>
        <v>0</v>
      </c>
      <c r="AK994" t="str">
        <f t="shared" si="30"/>
        <v>Mid Career</v>
      </c>
      <c r="AL994" t="str">
        <f t="shared" si="31"/>
        <v>High Income</v>
      </c>
    </row>
    <row r="995" spans="1:38"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IF(Table1[[#This Row],[Attrition]]="Yes",1,0)</f>
        <v>0</v>
      </c>
      <c r="AK995" t="str">
        <f t="shared" si="30"/>
        <v>Young</v>
      </c>
      <c r="AL995" t="str">
        <f t="shared" si="31"/>
        <v>Medium Income</v>
      </c>
    </row>
    <row r="996" spans="1:38"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IF(Table1[[#This Row],[Attrition]]="Yes",1,0)</f>
        <v>0</v>
      </c>
      <c r="AK996" t="str">
        <f t="shared" si="30"/>
        <v>Senior</v>
      </c>
      <c r="AL996" t="str">
        <f t="shared" si="31"/>
        <v>High Income</v>
      </c>
    </row>
    <row r="997" spans="1:38"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IF(Table1[[#This Row],[Attrition]]="Yes",1,0)</f>
        <v>0</v>
      </c>
      <c r="AK997" t="str">
        <f t="shared" si="30"/>
        <v>Experienced</v>
      </c>
      <c r="AL997" t="str">
        <f t="shared" si="31"/>
        <v>Medium Income</v>
      </c>
    </row>
    <row r="998" spans="1:38"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IF(Table1[[#This Row],[Attrition]]="Yes",1,0)</f>
        <v>0</v>
      </c>
      <c r="AK998" t="str">
        <f t="shared" si="30"/>
        <v>Young</v>
      </c>
      <c r="AL998" t="str">
        <f t="shared" si="31"/>
        <v>Medium Income</v>
      </c>
    </row>
    <row r="999" spans="1:38"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IF(Table1[[#This Row],[Attrition]]="Yes",1,0)</f>
        <v>1</v>
      </c>
      <c r="AK999" t="str">
        <f t="shared" si="30"/>
        <v>Young</v>
      </c>
      <c r="AL999" t="str">
        <f t="shared" si="31"/>
        <v>Low Income</v>
      </c>
    </row>
    <row r="1000" spans="1:38"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IF(Table1[[#This Row],[Attrition]]="Yes",1,0)</f>
        <v>0</v>
      </c>
      <c r="AK1000" t="str">
        <f t="shared" si="30"/>
        <v>Young</v>
      </c>
      <c r="AL1000" t="str">
        <f t="shared" si="31"/>
        <v>Medium Income</v>
      </c>
    </row>
    <row r="1001" spans="1:38"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IF(Table1[[#This Row],[Attrition]]="Yes",1,0)</f>
        <v>0</v>
      </c>
      <c r="AK1001" t="str">
        <f t="shared" si="30"/>
        <v>Experienced</v>
      </c>
      <c r="AL1001" t="str">
        <f t="shared" si="31"/>
        <v>High Income</v>
      </c>
    </row>
    <row r="1002" spans="1:38"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IF(Table1[[#This Row],[Attrition]]="Yes",1,0)</f>
        <v>0</v>
      </c>
      <c r="AK1002" t="str">
        <f t="shared" si="30"/>
        <v>Senior</v>
      </c>
      <c r="AL1002" t="str">
        <f t="shared" si="31"/>
        <v>Low Income</v>
      </c>
    </row>
    <row r="1003" spans="1:38"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IF(Table1[[#This Row],[Attrition]]="Yes",1,0)</f>
        <v>0</v>
      </c>
      <c r="AK1003" t="str">
        <f t="shared" si="30"/>
        <v>Mid Career</v>
      </c>
      <c r="AL1003" t="str">
        <f t="shared" si="31"/>
        <v>Medium Income</v>
      </c>
    </row>
    <row r="1004" spans="1:38"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IF(Table1[[#This Row],[Attrition]]="Yes",1,0)</f>
        <v>0</v>
      </c>
      <c r="AK1004" t="str">
        <f t="shared" si="30"/>
        <v>Mid Career</v>
      </c>
      <c r="AL1004" t="str">
        <f t="shared" si="31"/>
        <v>High Income</v>
      </c>
    </row>
    <row r="1005" spans="1:38"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IF(Table1[[#This Row],[Attrition]]="Yes",1,0)</f>
        <v>0</v>
      </c>
      <c r="AK1005" t="str">
        <f t="shared" si="30"/>
        <v>Young</v>
      </c>
      <c r="AL1005" t="str">
        <f t="shared" si="31"/>
        <v>Medium Income</v>
      </c>
    </row>
    <row r="1006" spans="1:38"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IF(Table1[[#This Row],[Attrition]]="Yes",1,0)</f>
        <v>0</v>
      </c>
      <c r="AK1006" t="str">
        <f t="shared" si="30"/>
        <v>Young</v>
      </c>
      <c r="AL1006" t="str">
        <f t="shared" si="31"/>
        <v>Medium Income</v>
      </c>
    </row>
    <row r="1007" spans="1:38"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IF(Table1[[#This Row],[Attrition]]="Yes",1,0)</f>
        <v>0</v>
      </c>
      <c r="AK1007" t="str">
        <f t="shared" si="30"/>
        <v>Young</v>
      </c>
      <c r="AL1007" t="str">
        <f t="shared" si="31"/>
        <v>High Income</v>
      </c>
    </row>
    <row r="1008" spans="1:38"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IF(Table1[[#This Row],[Attrition]]="Yes",1,0)</f>
        <v>1</v>
      </c>
      <c r="AK1008" t="str">
        <f t="shared" si="30"/>
        <v>Experienced</v>
      </c>
      <c r="AL1008" t="str">
        <f t="shared" si="31"/>
        <v>Medium Income</v>
      </c>
    </row>
    <row r="1009" spans="1:38"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IF(Table1[[#This Row],[Attrition]]="Yes",1,0)</f>
        <v>1</v>
      </c>
      <c r="AK1009" t="str">
        <f t="shared" si="30"/>
        <v>Young</v>
      </c>
      <c r="AL1009" t="str">
        <f t="shared" si="31"/>
        <v>High Income</v>
      </c>
    </row>
    <row r="1010" spans="1:38"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IF(Table1[[#This Row],[Attrition]]="Yes",1,0)</f>
        <v>0</v>
      </c>
      <c r="AK1010" t="str">
        <f t="shared" si="30"/>
        <v>Senior</v>
      </c>
      <c r="AL1010" t="str">
        <f t="shared" si="31"/>
        <v>High Income</v>
      </c>
    </row>
    <row r="1011" spans="1:38"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IF(Table1[[#This Row],[Attrition]]="Yes",1,0)</f>
        <v>0</v>
      </c>
      <c r="AK1011" t="str">
        <f t="shared" si="30"/>
        <v>Senior</v>
      </c>
      <c r="AL1011" t="str">
        <f t="shared" si="31"/>
        <v>High Income</v>
      </c>
    </row>
    <row r="1012" spans="1:38"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IF(Table1[[#This Row],[Attrition]]="Yes",1,0)</f>
        <v>0</v>
      </c>
      <c r="AK1012" t="str">
        <f t="shared" si="30"/>
        <v>Senior</v>
      </c>
      <c r="AL1012" t="str">
        <f t="shared" si="31"/>
        <v>High Income</v>
      </c>
    </row>
    <row r="1013" spans="1:38"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IF(Table1[[#This Row],[Attrition]]="Yes",1,0)</f>
        <v>0</v>
      </c>
      <c r="AK1013" t="str">
        <f t="shared" si="30"/>
        <v>Mid Career</v>
      </c>
      <c r="AL1013" t="str">
        <f t="shared" si="31"/>
        <v>High Income</v>
      </c>
    </row>
    <row r="1014" spans="1:38"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IF(Table1[[#This Row],[Attrition]]="Yes",1,0)</f>
        <v>1</v>
      </c>
      <c r="AK1014" t="str">
        <f t="shared" si="30"/>
        <v>Mid Career</v>
      </c>
      <c r="AL1014" t="str">
        <f t="shared" si="31"/>
        <v>Low Income</v>
      </c>
    </row>
    <row r="1015" spans="1:38"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IF(Table1[[#This Row],[Attrition]]="Yes",1,0)</f>
        <v>0</v>
      </c>
      <c r="AK1015" t="str">
        <f t="shared" si="30"/>
        <v>Mid Career</v>
      </c>
      <c r="AL1015" t="str">
        <f t="shared" si="31"/>
        <v>Medium Income</v>
      </c>
    </row>
    <row r="1016" spans="1:38"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IF(Table1[[#This Row],[Attrition]]="Yes",1,0)</f>
        <v>0</v>
      </c>
      <c r="AK1016" t="str">
        <f t="shared" si="30"/>
        <v>Mid Career</v>
      </c>
      <c r="AL1016" t="str">
        <f t="shared" si="31"/>
        <v>High Income</v>
      </c>
    </row>
    <row r="1017" spans="1:38"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IF(Table1[[#This Row],[Attrition]]="Yes",1,0)</f>
        <v>0</v>
      </c>
      <c r="AK1017" t="str">
        <f t="shared" si="30"/>
        <v>Mid Career</v>
      </c>
      <c r="AL1017" t="str">
        <f t="shared" si="31"/>
        <v>Low Income</v>
      </c>
    </row>
    <row r="1018" spans="1:38"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IF(Table1[[#This Row],[Attrition]]="Yes",1,0)</f>
        <v>1</v>
      </c>
      <c r="AK1018" t="str">
        <f t="shared" si="30"/>
        <v>Mid Career</v>
      </c>
      <c r="AL1018" t="str">
        <f t="shared" si="31"/>
        <v>Low Income</v>
      </c>
    </row>
    <row r="1019" spans="1:38"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IF(Table1[[#This Row],[Attrition]]="Yes",1,0)</f>
        <v>0</v>
      </c>
      <c r="AK1019" t="str">
        <f t="shared" si="30"/>
        <v>Young</v>
      </c>
      <c r="AL1019" t="str">
        <f t="shared" si="31"/>
        <v>Low Income</v>
      </c>
    </row>
    <row r="1020" spans="1:38"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IF(Table1[[#This Row],[Attrition]]="Yes",1,0)</f>
        <v>0</v>
      </c>
      <c r="AK1020" t="str">
        <f t="shared" si="30"/>
        <v>Mid Career</v>
      </c>
      <c r="AL1020" t="str">
        <f t="shared" si="31"/>
        <v>Medium Income</v>
      </c>
    </row>
    <row r="1021" spans="1:38"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IF(Table1[[#This Row],[Attrition]]="Yes",1,0)</f>
        <v>0</v>
      </c>
      <c r="AK1021" t="str">
        <f t="shared" si="30"/>
        <v>Mid Career</v>
      </c>
      <c r="AL1021" t="str">
        <f t="shared" si="31"/>
        <v>Medium Income</v>
      </c>
    </row>
    <row r="1022" spans="1:38"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IF(Table1[[#This Row],[Attrition]]="Yes",1,0)</f>
        <v>0</v>
      </c>
      <c r="AK1022" t="str">
        <f t="shared" si="30"/>
        <v>Experienced</v>
      </c>
      <c r="AL1022" t="str">
        <f t="shared" si="31"/>
        <v>Medium Income</v>
      </c>
    </row>
    <row r="1023" spans="1:38"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IF(Table1[[#This Row],[Attrition]]="Yes",1,0)</f>
        <v>1</v>
      </c>
      <c r="AK1023" t="str">
        <f t="shared" si="30"/>
        <v>Young</v>
      </c>
      <c r="AL1023" t="str">
        <f t="shared" si="31"/>
        <v>Medium Income</v>
      </c>
    </row>
    <row r="1024" spans="1:38"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IF(Table1[[#This Row],[Attrition]]="Yes",1,0)</f>
        <v>0</v>
      </c>
      <c r="AK1024" t="str">
        <f t="shared" si="30"/>
        <v>Mid Career</v>
      </c>
      <c r="AL1024" t="str">
        <f t="shared" si="31"/>
        <v>Medium Income</v>
      </c>
    </row>
    <row r="1025" spans="1:38"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IF(Table1[[#This Row],[Attrition]]="Yes",1,0)</f>
        <v>0</v>
      </c>
      <c r="AK1025" t="str">
        <f t="shared" si="30"/>
        <v>Senior</v>
      </c>
      <c r="AL1025" t="str">
        <f t="shared" si="31"/>
        <v>Low Income</v>
      </c>
    </row>
    <row r="1026" spans="1:38"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IF(Table1[[#This Row],[Attrition]]="Yes",1,0)</f>
        <v>0</v>
      </c>
      <c r="AK1026" t="str">
        <f t="shared" ref="AK1026:AK1089" si="32">IF(A1026&lt;30,"Young",
IF(A1026&lt;40,"Mid Career",
IF(A1026&lt;50,"Experienced","Senior")))</f>
        <v>Experienced</v>
      </c>
      <c r="AL1026" t="str">
        <f t="shared" ref="AL1026:AL1089" si="33">IF(S1026&lt;3000,"Low Income",IF(S1026&lt;7000,"Medium Income","High Income"))</f>
        <v>High Income</v>
      </c>
    </row>
    <row r="1027" spans="1:38"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IF(Table1[[#This Row],[Attrition]]="Yes",1,0)</f>
        <v>0</v>
      </c>
      <c r="AK1027" t="str">
        <f t="shared" si="32"/>
        <v>Young</v>
      </c>
      <c r="AL1027" t="str">
        <f t="shared" si="33"/>
        <v>Medium Income</v>
      </c>
    </row>
    <row r="1028" spans="1:38"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IF(Table1[[#This Row],[Attrition]]="Yes",1,0)</f>
        <v>0</v>
      </c>
      <c r="AK1028" t="str">
        <f t="shared" si="32"/>
        <v>Mid Career</v>
      </c>
      <c r="AL1028" t="str">
        <f t="shared" si="33"/>
        <v>High Income</v>
      </c>
    </row>
    <row r="1029" spans="1:38"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IF(Table1[[#This Row],[Attrition]]="Yes",1,0)</f>
        <v>0</v>
      </c>
      <c r="AK1029" t="str">
        <f t="shared" si="32"/>
        <v>Mid Career</v>
      </c>
      <c r="AL1029" t="str">
        <f t="shared" si="33"/>
        <v>Medium Income</v>
      </c>
    </row>
    <row r="1030" spans="1:38"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IF(Table1[[#This Row],[Attrition]]="Yes",1,0)</f>
        <v>0</v>
      </c>
      <c r="AK1030" t="str">
        <f t="shared" si="32"/>
        <v>Experienced</v>
      </c>
      <c r="AL1030" t="str">
        <f t="shared" si="33"/>
        <v>Low Income</v>
      </c>
    </row>
    <row r="1031" spans="1:38"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IF(Table1[[#This Row],[Attrition]]="Yes",1,0)</f>
        <v>0</v>
      </c>
      <c r="AK1031" t="str">
        <f t="shared" si="32"/>
        <v>Experienced</v>
      </c>
      <c r="AL1031" t="str">
        <f t="shared" si="33"/>
        <v>Medium Income</v>
      </c>
    </row>
    <row r="1032" spans="1:38"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IF(Table1[[#This Row],[Attrition]]="Yes",1,0)</f>
        <v>0</v>
      </c>
      <c r="AK1032" t="str">
        <f t="shared" si="32"/>
        <v>Mid Career</v>
      </c>
      <c r="AL1032" t="str">
        <f t="shared" si="33"/>
        <v>High Income</v>
      </c>
    </row>
    <row r="1033" spans="1:38"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IF(Table1[[#This Row],[Attrition]]="Yes",1,0)</f>
        <v>1</v>
      </c>
      <c r="AK1033" t="str">
        <f t="shared" si="32"/>
        <v>Experienced</v>
      </c>
      <c r="AL1033" t="str">
        <f t="shared" si="33"/>
        <v>High Income</v>
      </c>
    </row>
    <row r="1034" spans="1:38"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IF(Table1[[#This Row],[Attrition]]="Yes",1,0)</f>
        <v>1</v>
      </c>
      <c r="AK1034" t="str">
        <f t="shared" si="32"/>
        <v>Mid Career</v>
      </c>
      <c r="AL1034" t="str">
        <f t="shared" si="33"/>
        <v>Medium Income</v>
      </c>
    </row>
    <row r="1035" spans="1:38"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IF(Table1[[#This Row],[Attrition]]="Yes",1,0)</f>
        <v>1</v>
      </c>
      <c r="AK1035" t="str">
        <f t="shared" si="32"/>
        <v>Mid Career</v>
      </c>
      <c r="AL1035" t="str">
        <f t="shared" si="33"/>
        <v>High Income</v>
      </c>
    </row>
    <row r="1036" spans="1:38"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IF(Table1[[#This Row],[Attrition]]="Yes",1,0)</f>
        <v>0</v>
      </c>
      <c r="AK1036" t="str">
        <f t="shared" si="32"/>
        <v>Experienced</v>
      </c>
      <c r="AL1036" t="str">
        <f t="shared" si="33"/>
        <v>High Income</v>
      </c>
    </row>
    <row r="1037" spans="1:38"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IF(Table1[[#This Row],[Attrition]]="Yes",1,0)</f>
        <v>0</v>
      </c>
      <c r="AK1037" t="str">
        <f t="shared" si="32"/>
        <v>Mid Career</v>
      </c>
      <c r="AL1037" t="str">
        <f t="shared" si="33"/>
        <v>Low Income</v>
      </c>
    </row>
    <row r="1038" spans="1:38"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IF(Table1[[#This Row],[Attrition]]="Yes",1,0)</f>
        <v>1</v>
      </c>
      <c r="AK1038" t="str">
        <f t="shared" si="32"/>
        <v>Mid Career</v>
      </c>
      <c r="AL1038" t="str">
        <f t="shared" si="33"/>
        <v>Medium Income</v>
      </c>
    </row>
    <row r="1039" spans="1:38"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IF(Table1[[#This Row],[Attrition]]="Yes",1,0)</f>
        <v>0</v>
      </c>
      <c r="AK1039" t="str">
        <f t="shared" si="32"/>
        <v>Experienced</v>
      </c>
      <c r="AL1039" t="str">
        <f t="shared" si="33"/>
        <v>High Income</v>
      </c>
    </row>
    <row r="1040" spans="1:38"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IF(Table1[[#This Row],[Attrition]]="Yes",1,0)</f>
        <v>0</v>
      </c>
      <c r="AK1040" t="str">
        <f t="shared" si="32"/>
        <v>Experienced</v>
      </c>
      <c r="AL1040" t="str">
        <f t="shared" si="33"/>
        <v>Medium Income</v>
      </c>
    </row>
    <row r="1041" spans="1:38"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IF(Table1[[#This Row],[Attrition]]="Yes",1,0)</f>
        <v>1</v>
      </c>
      <c r="AK1041" t="str">
        <f t="shared" si="32"/>
        <v>Mid Career</v>
      </c>
      <c r="AL1041" t="str">
        <f t="shared" si="33"/>
        <v>Low Income</v>
      </c>
    </row>
    <row r="1042" spans="1:38"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IF(Table1[[#This Row],[Attrition]]="Yes",1,0)</f>
        <v>0</v>
      </c>
      <c r="AK1042" t="str">
        <f t="shared" si="32"/>
        <v>Experienced</v>
      </c>
      <c r="AL1042" t="str">
        <f t="shared" si="33"/>
        <v>High Income</v>
      </c>
    </row>
    <row r="1043" spans="1:38"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IF(Table1[[#This Row],[Attrition]]="Yes",1,0)</f>
        <v>0</v>
      </c>
      <c r="AK1043" t="str">
        <f t="shared" si="32"/>
        <v>Young</v>
      </c>
      <c r="AL1043" t="str">
        <f t="shared" si="33"/>
        <v>High Income</v>
      </c>
    </row>
    <row r="1044" spans="1:38"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IF(Table1[[#This Row],[Attrition]]="Yes",1,0)</f>
        <v>0</v>
      </c>
      <c r="AK1044" t="str">
        <f t="shared" si="32"/>
        <v>Experienced</v>
      </c>
      <c r="AL1044" t="str">
        <f t="shared" si="33"/>
        <v>Medium Income</v>
      </c>
    </row>
    <row r="1045" spans="1:38"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IF(Table1[[#This Row],[Attrition]]="Yes",1,0)</f>
        <v>0</v>
      </c>
      <c r="AK1045" t="str">
        <f t="shared" si="32"/>
        <v>Senior</v>
      </c>
      <c r="AL1045" t="str">
        <f t="shared" si="33"/>
        <v>High Income</v>
      </c>
    </row>
    <row r="1046" spans="1:38"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IF(Table1[[#This Row],[Attrition]]="Yes",1,0)</f>
        <v>0</v>
      </c>
      <c r="AK1046" t="str">
        <f t="shared" si="32"/>
        <v>Experienced</v>
      </c>
      <c r="AL1046" t="str">
        <f t="shared" si="33"/>
        <v>Medium Income</v>
      </c>
    </row>
    <row r="1047" spans="1:38"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IF(Table1[[#This Row],[Attrition]]="Yes",1,0)</f>
        <v>0</v>
      </c>
      <c r="AK1047" t="str">
        <f t="shared" si="32"/>
        <v>Experienced</v>
      </c>
      <c r="AL1047" t="str">
        <f t="shared" si="33"/>
        <v>Low Income</v>
      </c>
    </row>
    <row r="1048" spans="1:38"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IF(Table1[[#This Row],[Attrition]]="Yes",1,0)</f>
        <v>0</v>
      </c>
      <c r="AK1048" t="str">
        <f t="shared" si="32"/>
        <v>Experienced</v>
      </c>
      <c r="AL1048" t="str">
        <f t="shared" si="33"/>
        <v>Medium Income</v>
      </c>
    </row>
    <row r="1049" spans="1:38"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IF(Table1[[#This Row],[Attrition]]="Yes",1,0)</f>
        <v>0</v>
      </c>
      <c r="AK1049" t="str">
        <f t="shared" si="32"/>
        <v>Mid Career</v>
      </c>
      <c r="AL1049" t="str">
        <f t="shared" si="33"/>
        <v>Medium Income</v>
      </c>
    </row>
    <row r="1050" spans="1:38"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IF(Table1[[#This Row],[Attrition]]="Yes",1,0)</f>
        <v>0</v>
      </c>
      <c r="AK1050" t="str">
        <f t="shared" si="32"/>
        <v>Mid Career</v>
      </c>
      <c r="AL1050" t="str">
        <f t="shared" si="33"/>
        <v>Medium Income</v>
      </c>
    </row>
    <row r="1051" spans="1:38"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IF(Table1[[#This Row],[Attrition]]="Yes",1,0)</f>
        <v>0</v>
      </c>
      <c r="AK1051" t="str">
        <f t="shared" si="32"/>
        <v>Mid Career</v>
      </c>
      <c r="AL1051" t="str">
        <f t="shared" si="33"/>
        <v>Medium Income</v>
      </c>
    </row>
    <row r="1052" spans="1:38"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IF(Table1[[#This Row],[Attrition]]="Yes",1,0)</f>
        <v>0</v>
      </c>
      <c r="AK1052" t="str">
        <f t="shared" si="32"/>
        <v>Experienced</v>
      </c>
      <c r="AL1052" t="str">
        <f t="shared" si="33"/>
        <v>Medium Income</v>
      </c>
    </row>
    <row r="1053" spans="1:38"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IF(Table1[[#This Row],[Attrition]]="Yes",1,0)</f>
        <v>0</v>
      </c>
      <c r="AK1053" t="str">
        <f t="shared" si="32"/>
        <v>Experienced</v>
      </c>
      <c r="AL1053" t="str">
        <f t="shared" si="33"/>
        <v>Medium Income</v>
      </c>
    </row>
    <row r="1054" spans="1:38"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IF(Table1[[#This Row],[Attrition]]="Yes",1,0)</f>
        <v>0</v>
      </c>
      <c r="AK1054" t="str">
        <f t="shared" si="32"/>
        <v>Mid Career</v>
      </c>
      <c r="AL1054" t="str">
        <f t="shared" si="33"/>
        <v>Low Income</v>
      </c>
    </row>
    <row r="1055" spans="1:38"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IF(Table1[[#This Row],[Attrition]]="Yes",1,0)</f>
        <v>0</v>
      </c>
      <c r="AK1055" t="str">
        <f t="shared" si="32"/>
        <v>Senior</v>
      </c>
      <c r="AL1055" t="str">
        <f t="shared" si="33"/>
        <v>Medium Income</v>
      </c>
    </row>
    <row r="1056" spans="1:38"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IF(Table1[[#This Row],[Attrition]]="Yes",1,0)</f>
        <v>0</v>
      </c>
      <c r="AK1056" t="str">
        <f t="shared" si="32"/>
        <v>Experienced</v>
      </c>
      <c r="AL1056" t="str">
        <f t="shared" si="33"/>
        <v>High Income</v>
      </c>
    </row>
    <row r="1057" spans="1:38"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IF(Table1[[#This Row],[Attrition]]="Yes",1,0)</f>
        <v>0</v>
      </c>
      <c r="AK1057" t="str">
        <f t="shared" si="32"/>
        <v>Mid Career</v>
      </c>
      <c r="AL1057" t="str">
        <f t="shared" si="33"/>
        <v>High Income</v>
      </c>
    </row>
    <row r="1058" spans="1:38"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IF(Table1[[#This Row],[Attrition]]="Yes",1,0)</f>
        <v>1</v>
      </c>
      <c r="AK1058" t="str">
        <f t="shared" si="32"/>
        <v>Young</v>
      </c>
      <c r="AL1058" t="str">
        <f t="shared" si="33"/>
        <v>Low Income</v>
      </c>
    </row>
    <row r="1059" spans="1:38"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IF(Table1[[#This Row],[Attrition]]="Yes",1,0)</f>
        <v>1</v>
      </c>
      <c r="AK1059" t="str">
        <f t="shared" si="32"/>
        <v>Young</v>
      </c>
      <c r="AL1059" t="str">
        <f t="shared" si="33"/>
        <v>Medium Income</v>
      </c>
    </row>
    <row r="1060" spans="1:38"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IF(Table1[[#This Row],[Attrition]]="Yes",1,0)</f>
        <v>1</v>
      </c>
      <c r="AK1060" t="str">
        <f t="shared" si="32"/>
        <v>Mid Career</v>
      </c>
      <c r="AL1060" t="str">
        <f t="shared" si="33"/>
        <v>Medium Income</v>
      </c>
    </row>
    <row r="1061" spans="1:38"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IF(Table1[[#This Row],[Attrition]]="Yes",1,0)</f>
        <v>0</v>
      </c>
      <c r="AK1061" t="str">
        <f t="shared" si="32"/>
        <v>Mid Career</v>
      </c>
      <c r="AL1061" t="str">
        <f t="shared" si="33"/>
        <v>Low Income</v>
      </c>
    </row>
    <row r="1062" spans="1:38"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IF(Table1[[#This Row],[Attrition]]="Yes",1,0)</f>
        <v>1</v>
      </c>
      <c r="AK1062" t="str">
        <f t="shared" si="32"/>
        <v>Young</v>
      </c>
      <c r="AL1062" t="str">
        <f t="shared" si="33"/>
        <v>Medium Income</v>
      </c>
    </row>
    <row r="1063" spans="1:38"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IF(Table1[[#This Row],[Attrition]]="Yes",1,0)</f>
        <v>0</v>
      </c>
      <c r="AK1063" t="str">
        <f t="shared" si="32"/>
        <v>Young</v>
      </c>
      <c r="AL1063" t="str">
        <f t="shared" si="33"/>
        <v>Low Income</v>
      </c>
    </row>
    <row r="1064" spans="1:38"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IF(Table1[[#This Row],[Attrition]]="Yes",1,0)</f>
        <v>0</v>
      </c>
      <c r="AK1064" t="str">
        <f t="shared" si="32"/>
        <v>Experienced</v>
      </c>
      <c r="AL1064" t="str">
        <f t="shared" si="33"/>
        <v>High Income</v>
      </c>
    </row>
    <row r="1065" spans="1:38"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IF(Table1[[#This Row],[Attrition]]="Yes",1,0)</f>
        <v>0</v>
      </c>
      <c r="AK1065" t="str">
        <f t="shared" si="32"/>
        <v>Young</v>
      </c>
      <c r="AL1065" t="str">
        <f t="shared" si="33"/>
        <v>High Income</v>
      </c>
    </row>
    <row r="1066" spans="1:38"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IF(Table1[[#This Row],[Attrition]]="Yes",1,0)</f>
        <v>0</v>
      </c>
      <c r="AK1066" t="str">
        <f t="shared" si="32"/>
        <v>Mid Career</v>
      </c>
      <c r="AL1066" t="str">
        <f t="shared" si="33"/>
        <v>Low Income</v>
      </c>
    </row>
    <row r="1067" spans="1:38"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IF(Table1[[#This Row],[Attrition]]="Yes",1,0)</f>
        <v>0</v>
      </c>
      <c r="AK1067" t="str">
        <f t="shared" si="32"/>
        <v>Senior</v>
      </c>
      <c r="AL1067" t="str">
        <f t="shared" si="33"/>
        <v>Medium Income</v>
      </c>
    </row>
    <row r="1068" spans="1:38"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IF(Table1[[#This Row],[Attrition]]="Yes",1,0)</f>
        <v>0</v>
      </c>
      <c r="AK1068" t="str">
        <f t="shared" si="32"/>
        <v>Mid Career</v>
      </c>
      <c r="AL1068" t="str">
        <f t="shared" si="33"/>
        <v>Medium Income</v>
      </c>
    </row>
    <row r="1069" spans="1:38"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IF(Table1[[#This Row],[Attrition]]="Yes",1,0)</f>
        <v>0</v>
      </c>
      <c r="AK1069" t="str">
        <f t="shared" si="32"/>
        <v>Experienced</v>
      </c>
      <c r="AL1069" t="str">
        <f t="shared" si="33"/>
        <v>Medium Income</v>
      </c>
    </row>
    <row r="1070" spans="1:38"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IF(Table1[[#This Row],[Attrition]]="Yes",1,0)</f>
        <v>1</v>
      </c>
      <c r="AK1070" t="str">
        <f t="shared" si="32"/>
        <v>Young</v>
      </c>
      <c r="AL1070" t="str">
        <f t="shared" si="33"/>
        <v>Low Income</v>
      </c>
    </row>
    <row r="1071" spans="1:38"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IF(Table1[[#This Row],[Attrition]]="Yes",1,0)</f>
        <v>0</v>
      </c>
      <c r="AK1071" t="str">
        <f t="shared" si="32"/>
        <v>Young</v>
      </c>
      <c r="AL1071" t="str">
        <f t="shared" si="33"/>
        <v>Low Income</v>
      </c>
    </row>
    <row r="1072" spans="1:38"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IF(Table1[[#This Row],[Attrition]]="Yes",1,0)</f>
        <v>0</v>
      </c>
      <c r="AK1072" t="str">
        <f t="shared" si="32"/>
        <v>Young</v>
      </c>
      <c r="AL1072" t="str">
        <f t="shared" si="33"/>
        <v>Medium Income</v>
      </c>
    </row>
    <row r="1073" spans="1:38"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IF(Table1[[#This Row],[Attrition]]="Yes",1,0)</f>
        <v>0</v>
      </c>
      <c r="AK1073" t="str">
        <f t="shared" si="32"/>
        <v>Experienced</v>
      </c>
      <c r="AL1073" t="str">
        <f t="shared" si="33"/>
        <v>Medium Income</v>
      </c>
    </row>
    <row r="1074" spans="1:38"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IF(Table1[[#This Row],[Attrition]]="Yes",1,0)</f>
        <v>0</v>
      </c>
      <c r="AK1074" t="str">
        <f t="shared" si="32"/>
        <v>Young</v>
      </c>
      <c r="AL1074" t="str">
        <f t="shared" si="33"/>
        <v>Medium Income</v>
      </c>
    </row>
    <row r="1075" spans="1:38"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IF(Table1[[#This Row],[Attrition]]="Yes",1,0)</f>
        <v>0</v>
      </c>
      <c r="AK1075" t="str">
        <f t="shared" si="32"/>
        <v>Young</v>
      </c>
      <c r="AL1075" t="str">
        <f t="shared" si="33"/>
        <v>Medium Income</v>
      </c>
    </row>
    <row r="1076" spans="1:38"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IF(Table1[[#This Row],[Attrition]]="Yes",1,0)</f>
        <v>0</v>
      </c>
      <c r="AK1076" t="str">
        <f t="shared" si="32"/>
        <v>Mid Career</v>
      </c>
      <c r="AL1076" t="str">
        <f t="shared" si="33"/>
        <v>Medium Income</v>
      </c>
    </row>
    <row r="1077" spans="1:38"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IF(Table1[[#This Row],[Attrition]]="Yes",1,0)</f>
        <v>0</v>
      </c>
      <c r="AK1077" t="str">
        <f t="shared" si="32"/>
        <v>Mid Career</v>
      </c>
      <c r="AL1077" t="str">
        <f t="shared" si="33"/>
        <v>High Income</v>
      </c>
    </row>
    <row r="1078" spans="1:38"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IF(Table1[[#This Row],[Attrition]]="Yes",1,0)</f>
        <v>0</v>
      </c>
      <c r="AK1078" t="str">
        <f t="shared" si="32"/>
        <v>Senior</v>
      </c>
      <c r="AL1078" t="str">
        <f t="shared" si="33"/>
        <v>High Income</v>
      </c>
    </row>
    <row r="1079" spans="1:38"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IF(Table1[[#This Row],[Attrition]]="Yes",1,0)</f>
        <v>1</v>
      </c>
      <c r="AK1079" t="str">
        <f t="shared" si="32"/>
        <v>Young</v>
      </c>
      <c r="AL1079" t="str">
        <f t="shared" si="33"/>
        <v>Low Income</v>
      </c>
    </row>
    <row r="1080" spans="1:38"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IF(Table1[[#This Row],[Attrition]]="Yes",1,0)</f>
        <v>0</v>
      </c>
      <c r="AK1080" t="str">
        <f t="shared" si="32"/>
        <v>Experienced</v>
      </c>
      <c r="AL1080" t="str">
        <f t="shared" si="33"/>
        <v>High Income</v>
      </c>
    </row>
    <row r="1081" spans="1:38"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IF(Table1[[#This Row],[Attrition]]="Yes",1,0)</f>
        <v>0</v>
      </c>
      <c r="AK1081" t="str">
        <f t="shared" si="32"/>
        <v>Mid Career</v>
      </c>
      <c r="AL1081" t="str">
        <f t="shared" si="33"/>
        <v>High Income</v>
      </c>
    </row>
    <row r="1082" spans="1:38"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IF(Table1[[#This Row],[Attrition]]="Yes",1,0)</f>
        <v>0</v>
      </c>
      <c r="AK1082" t="str">
        <f t="shared" si="32"/>
        <v>Experienced</v>
      </c>
      <c r="AL1082" t="str">
        <f t="shared" si="33"/>
        <v>High Income</v>
      </c>
    </row>
    <row r="1083" spans="1:38"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IF(Table1[[#This Row],[Attrition]]="Yes",1,0)</f>
        <v>0</v>
      </c>
      <c r="AK1083" t="str">
        <f t="shared" si="32"/>
        <v>Mid Career</v>
      </c>
      <c r="AL1083" t="str">
        <f t="shared" si="33"/>
        <v>High Income</v>
      </c>
    </row>
    <row r="1084" spans="1:38"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IF(Table1[[#This Row],[Attrition]]="Yes",1,0)</f>
        <v>0</v>
      </c>
      <c r="AK1084" t="str">
        <f t="shared" si="32"/>
        <v>Young</v>
      </c>
      <c r="AL1084" t="str">
        <f t="shared" si="33"/>
        <v>Low Income</v>
      </c>
    </row>
    <row r="1085" spans="1:38"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IF(Table1[[#This Row],[Attrition]]="Yes",1,0)</f>
        <v>1</v>
      </c>
      <c r="AK1085" t="str">
        <f t="shared" si="32"/>
        <v>Experienced</v>
      </c>
      <c r="AL1085" t="str">
        <f t="shared" si="33"/>
        <v>Low Income</v>
      </c>
    </row>
    <row r="1086" spans="1:38"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IF(Table1[[#This Row],[Attrition]]="Yes",1,0)</f>
        <v>0</v>
      </c>
      <c r="AK1086" t="str">
        <f t="shared" si="32"/>
        <v>Mid Career</v>
      </c>
      <c r="AL1086" t="str">
        <f t="shared" si="33"/>
        <v>High Income</v>
      </c>
    </row>
    <row r="1087" spans="1:38"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IF(Table1[[#This Row],[Attrition]]="Yes",1,0)</f>
        <v>1</v>
      </c>
      <c r="AK1087" t="str">
        <f t="shared" si="32"/>
        <v>Mid Career</v>
      </c>
      <c r="AL1087" t="str">
        <f t="shared" si="33"/>
        <v>Medium Income</v>
      </c>
    </row>
    <row r="1088" spans="1:38"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IF(Table1[[#This Row],[Attrition]]="Yes",1,0)</f>
        <v>0</v>
      </c>
      <c r="AK1088" t="str">
        <f t="shared" si="32"/>
        <v>Senior</v>
      </c>
      <c r="AL1088" t="str">
        <f t="shared" si="33"/>
        <v>High Income</v>
      </c>
    </row>
    <row r="1089" spans="1:38"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IF(Table1[[#This Row],[Attrition]]="Yes",1,0)</f>
        <v>0</v>
      </c>
      <c r="AK1089" t="str">
        <f t="shared" si="32"/>
        <v>Mid Career</v>
      </c>
      <c r="AL1089" t="str">
        <f t="shared" si="33"/>
        <v>Low Income</v>
      </c>
    </row>
    <row r="1090" spans="1:38"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IF(Table1[[#This Row],[Attrition]]="Yes",1,0)</f>
        <v>0</v>
      </c>
      <c r="AK1090" t="str">
        <f t="shared" ref="AK1090:AK1153" si="34">IF(A1090&lt;30,"Young",
IF(A1090&lt;40,"Mid Career",
IF(A1090&lt;50,"Experienced","Senior")))</f>
        <v>Experienced</v>
      </c>
      <c r="AL1090" t="str">
        <f t="shared" ref="AL1090:AL1153" si="35">IF(S1090&lt;3000,"Low Income",IF(S1090&lt;7000,"Medium Income","High Income"))</f>
        <v>Medium Income</v>
      </c>
    </row>
    <row r="1091" spans="1:38"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IF(Table1[[#This Row],[Attrition]]="Yes",1,0)</f>
        <v>0</v>
      </c>
      <c r="AK1091" t="str">
        <f t="shared" si="34"/>
        <v>Mid Career</v>
      </c>
      <c r="AL1091" t="str">
        <f t="shared" si="35"/>
        <v>Medium Income</v>
      </c>
    </row>
    <row r="1092" spans="1:38"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IF(Table1[[#This Row],[Attrition]]="Yes",1,0)</f>
        <v>0</v>
      </c>
      <c r="AK1092" t="str">
        <f t="shared" si="34"/>
        <v>Young</v>
      </c>
      <c r="AL1092" t="str">
        <f t="shared" si="35"/>
        <v>High Income</v>
      </c>
    </row>
    <row r="1093" spans="1:38"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IF(Table1[[#This Row],[Attrition]]="Yes",1,0)</f>
        <v>0</v>
      </c>
      <c r="AK1093" t="str">
        <f t="shared" si="34"/>
        <v>Mid Career</v>
      </c>
      <c r="AL1093" t="str">
        <f t="shared" si="35"/>
        <v>Medium Income</v>
      </c>
    </row>
    <row r="1094" spans="1:38"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IF(Table1[[#This Row],[Attrition]]="Yes",1,0)</f>
        <v>0</v>
      </c>
      <c r="AK1094" t="str">
        <f t="shared" si="34"/>
        <v>Experienced</v>
      </c>
      <c r="AL1094" t="str">
        <f t="shared" si="35"/>
        <v>Low Income</v>
      </c>
    </row>
    <row r="1095" spans="1:38"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IF(Table1[[#This Row],[Attrition]]="Yes",1,0)</f>
        <v>0</v>
      </c>
      <c r="AK1095" t="str">
        <f t="shared" si="34"/>
        <v>Experienced</v>
      </c>
      <c r="AL1095" t="str">
        <f t="shared" si="35"/>
        <v>High Income</v>
      </c>
    </row>
    <row r="1096" spans="1:38"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IF(Table1[[#This Row],[Attrition]]="Yes",1,0)</f>
        <v>0</v>
      </c>
      <c r="AK1096" t="str">
        <f t="shared" si="34"/>
        <v>Experienced</v>
      </c>
      <c r="AL1096" t="str">
        <f t="shared" si="35"/>
        <v>Medium Income</v>
      </c>
    </row>
    <row r="1097" spans="1:38"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IF(Table1[[#This Row],[Attrition]]="Yes",1,0)</f>
        <v>0</v>
      </c>
      <c r="AK1097" t="str">
        <f t="shared" si="34"/>
        <v>Mid Career</v>
      </c>
      <c r="AL1097" t="str">
        <f t="shared" si="35"/>
        <v>Medium Income</v>
      </c>
    </row>
    <row r="1098" spans="1:38"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IF(Table1[[#This Row],[Attrition]]="Yes",1,0)</f>
        <v>0</v>
      </c>
      <c r="AK1098" t="str">
        <f t="shared" si="34"/>
        <v>Experienced</v>
      </c>
      <c r="AL1098" t="str">
        <f t="shared" si="35"/>
        <v>High Income</v>
      </c>
    </row>
    <row r="1099" spans="1:38"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IF(Table1[[#This Row],[Attrition]]="Yes",1,0)</f>
        <v>0</v>
      </c>
      <c r="AK1099" t="str">
        <f t="shared" si="34"/>
        <v>Young</v>
      </c>
      <c r="AL1099" t="str">
        <f t="shared" si="35"/>
        <v>Low Income</v>
      </c>
    </row>
    <row r="1100" spans="1:38"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IF(Table1[[#This Row],[Attrition]]="Yes",1,0)</f>
        <v>0</v>
      </c>
      <c r="AK1100" t="str">
        <f t="shared" si="34"/>
        <v>Experienced</v>
      </c>
      <c r="AL1100" t="str">
        <f t="shared" si="35"/>
        <v>Medium Income</v>
      </c>
    </row>
    <row r="1101" spans="1:38"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IF(Table1[[#This Row],[Attrition]]="Yes",1,0)</f>
        <v>0</v>
      </c>
      <c r="AK1101" t="str">
        <f t="shared" si="34"/>
        <v>Experienced</v>
      </c>
      <c r="AL1101" t="str">
        <f t="shared" si="35"/>
        <v>High Income</v>
      </c>
    </row>
    <row r="1102" spans="1:38"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IF(Table1[[#This Row],[Attrition]]="Yes",1,0)</f>
        <v>0</v>
      </c>
      <c r="AK1102" t="str">
        <f t="shared" si="34"/>
        <v>Mid Career</v>
      </c>
      <c r="AL1102" t="str">
        <f t="shared" si="35"/>
        <v>Low Income</v>
      </c>
    </row>
    <row r="1103" spans="1:38"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IF(Table1[[#This Row],[Attrition]]="Yes",1,0)</f>
        <v>0</v>
      </c>
      <c r="AK1103" t="str">
        <f t="shared" si="34"/>
        <v>Mid Career</v>
      </c>
      <c r="AL1103" t="str">
        <f t="shared" si="35"/>
        <v>Medium Income</v>
      </c>
    </row>
    <row r="1104" spans="1:38"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IF(Table1[[#This Row],[Attrition]]="Yes",1,0)</f>
        <v>0</v>
      </c>
      <c r="AK1104" t="str">
        <f t="shared" si="34"/>
        <v>Mid Career</v>
      </c>
      <c r="AL1104" t="str">
        <f t="shared" si="35"/>
        <v>Low Income</v>
      </c>
    </row>
    <row r="1105" spans="1:38"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IF(Table1[[#This Row],[Attrition]]="Yes",1,0)</f>
        <v>0</v>
      </c>
      <c r="AK1105" t="str">
        <f t="shared" si="34"/>
        <v>Experienced</v>
      </c>
      <c r="AL1105" t="str">
        <f t="shared" si="35"/>
        <v>Medium Income</v>
      </c>
    </row>
    <row r="1106" spans="1:38"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IF(Table1[[#This Row],[Attrition]]="Yes",1,0)</f>
        <v>0</v>
      </c>
      <c r="AK1106" t="str">
        <f t="shared" si="34"/>
        <v>Young</v>
      </c>
      <c r="AL1106" t="str">
        <f t="shared" si="35"/>
        <v>Low Income</v>
      </c>
    </row>
    <row r="1107" spans="1:38"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IF(Table1[[#This Row],[Attrition]]="Yes",1,0)</f>
        <v>0</v>
      </c>
      <c r="AK1107" t="str">
        <f t="shared" si="34"/>
        <v>Mid Career</v>
      </c>
      <c r="AL1107" t="str">
        <f t="shared" si="35"/>
        <v>Medium Income</v>
      </c>
    </row>
    <row r="1108" spans="1:38"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IF(Table1[[#This Row],[Attrition]]="Yes",1,0)</f>
        <v>1</v>
      </c>
      <c r="AK1108" t="str">
        <f t="shared" si="34"/>
        <v>Mid Career</v>
      </c>
      <c r="AL1108" t="str">
        <f t="shared" si="35"/>
        <v>High Income</v>
      </c>
    </row>
    <row r="1109" spans="1:38"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IF(Table1[[#This Row],[Attrition]]="Yes",1,0)</f>
        <v>0</v>
      </c>
      <c r="AK1109" t="str">
        <f t="shared" si="34"/>
        <v>Mid Career</v>
      </c>
      <c r="AL1109" t="str">
        <f t="shared" si="35"/>
        <v>Medium Income</v>
      </c>
    </row>
    <row r="1110" spans="1:38"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IF(Table1[[#This Row],[Attrition]]="Yes",1,0)</f>
        <v>0</v>
      </c>
      <c r="AK1110" t="str">
        <f t="shared" si="34"/>
        <v>Mid Career</v>
      </c>
      <c r="AL1110" t="str">
        <f t="shared" si="35"/>
        <v>Low Income</v>
      </c>
    </row>
    <row r="1111" spans="1:38"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IF(Table1[[#This Row],[Attrition]]="Yes",1,0)</f>
        <v>0</v>
      </c>
      <c r="AK1111" t="str">
        <f t="shared" si="34"/>
        <v>Mid Career</v>
      </c>
      <c r="AL1111" t="str">
        <f t="shared" si="35"/>
        <v>High Income</v>
      </c>
    </row>
    <row r="1112" spans="1:38"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IF(Table1[[#This Row],[Attrition]]="Yes",1,0)</f>
        <v>1</v>
      </c>
      <c r="AK1112" t="str">
        <f t="shared" si="34"/>
        <v>Mid Career</v>
      </c>
      <c r="AL1112" t="str">
        <f t="shared" si="35"/>
        <v>Low Income</v>
      </c>
    </row>
    <row r="1113" spans="1:38"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IF(Table1[[#This Row],[Attrition]]="Yes",1,0)</f>
        <v>1</v>
      </c>
      <c r="AK1113" t="str">
        <f t="shared" si="34"/>
        <v>Senior</v>
      </c>
      <c r="AL1113" t="str">
        <f t="shared" si="35"/>
        <v>High Income</v>
      </c>
    </row>
    <row r="1114" spans="1:38"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IF(Table1[[#This Row],[Attrition]]="Yes",1,0)</f>
        <v>1</v>
      </c>
      <c r="AK1114" t="str">
        <f t="shared" si="34"/>
        <v>Mid Career</v>
      </c>
      <c r="AL1114" t="str">
        <f t="shared" si="35"/>
        <v>Medium Income</v>
      </c>
    </row>
    <row r="1115" spans="1:38"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IF(Table1[[#This Row],[Attrition]]="Yes",1,0)</f>
        <v>0</v>
      </c>
      <c r="AK1115" t="str">
        <f t="shared" si="34"/>
        <v>Mid Career</v>
      </c>
      <c r="AL1115" t="str">
        <f t="shared" si="35"/>
        <v>Medium Income</v>
      </c>
    </row>
    <row r="1116" spans="1:38"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IF(Table1[[#This Row],[Attrition]]="Yes",1,0)</f>
        <v>0</v>
      </c>
      <c r="AK1116" t="str">
        <f t="shared" si="34"/>
        <v>Experienced</v>
      </c>
      <c r="AL1116" t="str">
        <f t="shared" si="35"/>
        <v>Low Income</v>
      </c>
    </row>
    <row r="1117" spans="1:38"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IF(Table1[[#This Row],[Attrition]]="Yes",1,0)</f>
        <v>0</v>
      </c>
      <c r="AK1117" t="str">
        <f t="shared" si="34"/>
        <v>Mid Career</v>
      </c>
      <c r="AL1117" t="str">
        <f t="shared" si="35"/>
        <v>Low Income</v>
      </c>
    </row>
    <row r="1118" spans="1:38"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IF(Table1[[#This Row],[Attrition]]="Yes",1,0)</f>
        <v>0</v>
      </c>
      <c r="AK1118" t="str">
        <f t="shared" si="34"/>
        <v>Senior</v>
      </c>
      <c r="AL1118" t="str">
        <f t="shared" si="35"/>
        <v>High Income</v>
      </c>
    </row>
    <row r="1119" spans="1:38"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IF(Table1[[#This Row],[Attrition]]="Yes",1,0)</f>
        <v>0</v>
      </c>
      <c r="AK1119" t="str">
        <f t="shared" si="34"/>
        <v>Mid Career</v>
      </c>
      <c r="AL1119" t="str">
        <f t="shared" si="35"/>
        <v>Medium Income</v>
      </c>
    </row>
    <row r="1120" spans="1:38"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IF(Table1[[#This Row],[Attrition]]="Yes",1,0)</f>
        <v>0</v>
      </c>
      <c r="AK1120" t="str">
        <f t="shared" si="34"/>
        <v>Young</v>
      </c>
      <c r="AL1120" t="str">
        <f t="shared" si="35"/>
        <v>Low Income</v>
      </c>
    </row>
    <row r="1121" spans="1:38"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IF(Table1[[#This Row],[Attrition]]="Yes",1,0)</f>
        <v>0</v>
      </c>
      <c r="AK1121" t="str">
        <f t="shared" si="34"/>
        <v>Mid Career</v>
      </c>
      <c r="AL1121" t="str">
        <f t="shared" si="35"/>
        <v>High Income</v>
      </c>
    </row>
    <row r="1122" spans="1:38"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IF(Table1[[#This Row],[Attrition]]="Yes",1,0)</f>
        <v>0</v>
      </c>
      <c r="AK1122" t="str">
        <f t="shared" si="34"/>
        <v>Mid Career</v>
      </c>
      <c r="AL1122" t="str">
        <f t="shared" si="35"/>
        <v>Medium Income</v>
      </c>
    </row>
    <row r="1123" spans="1:38"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IF(Table1[[#This Row],[Attrition]]="Yes",1,0)</f>
        <v>0</v>
      </c>
      <c r="AK1123" t="str">
        <f t="shared" si="34"/>
        <v>Mid Career</v>
      </c>
      <c r="AL1123" t="str">
        <f t="shared" si="35"/>
        <v>Medium Income</v>
      </c>
    </row>
    <row r="1124" spans="1:38"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IF(Table1[[#This Row],[Attrition]]="Yes",1,0)</f>
        <v>0</v>
      </c>
      <c r="AK1124" t="str">
        <f t="shared" si="34"/>
        <v>Young</v>
      </c>
      <c r="AL1124" t="str">
        <f t="shared" si="35"/>
        <v>Medium Income</v>
      </c>
    </row>
    <row r="1125" spans="1:38"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IF(Table1[[#This Row],[Attrition]]="Yes",1,0)</f>
        <v>0</v>
      </c>
      <c r="AK1125" t="str">
        <f t="shared" si="34"/>
        <v>Mid Career</v>
      </c>
      <c r="AL1125" t="str">
        <f t="shared" si="35"/>
        <v>Medium Income</v>
      </c>
    </row>
    <row r="1126" spans="1:38"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IF(Table1[[#This Row],[Attrition]]="Yes",1,0)</f>
        <v>0</v>
      </c>
      <c r="AK1126" t="str">
        <f t="shared" si="34"/>
        <v>Mid Career</v>
      </c>
      <c r="AL1126" t="str">
        <f t="shared" si="35"/>
        <v>High Income</v>
      </c>
    </row>
    <row r="1127" spans="1:38"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IF(Table1[[#This Row],[Attrition]]="Yes",1,0)</f>
        <v>0</v>
      </c>
      <c r="AK1127" t="str">
        <f t="shared" si="34"/>
        <v>Young</v>
      </c>
      <c r="AL1127" t="str">
        <f t="shared" si="35"/>
        <v>High Income</v>
      </c>
    </row>
    <row r="1128" spans="1:38"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IF(Table1[[#This Row],[Attrition]]="Yes",1,0)</f>
        <v>0</v>
      </c>
      <c r="AK1128" t="str">
        <f t="shared" si="34"/>
        <v>Senior</v>
      </c>
      <c r="AL1128" t="str">
        <f t="shared" si="35"/>
        <v>High Income</v>
      </c>
    </row>
    <row r="1129" spans="1:38"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IF(Table1[[#This Row],[Attrition]]="Yes",1,0)</f>
        <v>0</v>
      </c>
      <c r="AK1129" t="str">
        <f t="shared" si="34"/>
        <v>Young</v>
      </c>
      <c r="AL1129" t="str">
        <f t="shared" si="35"/>
        <v>Low Income</v>
      </c>
    </row>
    <row r="1130" spans="1:38"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IF(Table1[[#This Row],[Attrition]]="Yes",1,0)</f>
        <v>0</v>
      </c>
      <c r="AK1130" t="str">
        <f t="shared" si="34"/>
        <v>Mid Career</v>
      </c>
      <c r="AL1130" t="str">
        <f t="shared" si="35"/>
        <v>Medium Income</v>
      </c>
    </row>
    <row r="1131" spans="1:38"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IF(Table1[[#This Row],[Attrition]]="Yes",1,0)</f>
        <v>0</v>
      </c>
      <c r="AK1131" t="str">
        <f t="shared" si="34"/>
        <v>Experienced</v>
      </c>
      <c r="AL1131" t="str">
        <f t="shared" si="35"/>
        <v>High Income</v>
      </c>
    </row>
    <row r="1132" spans="1:38"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IF(Table1[[#This Row],[Attrition]]="Yes",1,0)</f>
        <v>0</v>
      </c>
      <c r="AK1132" t="str">
        <f t="shared" si="34"/>
        <v>Mid Career</v>
      </c>
      <c r="AL1132" t="str">
        <f t="shared" si="35"/>
        <v>Medium Income</v>
      </c>
    </row>
    <row r="1133" spans="1:38"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IF(Table1[[#This Row],[Attrition]]="Yes",1,0)</f>
        <v>0</v>
      </c>
      <c r="AK1133" t="str">
        <f t="shared" si="34"/>
        <v>Mid Career</v>
      </c>
      <c r="AL1133" t="str">
        <f t="shared" si="35"/>
        <v>Medium Income</v>
      </c>
    </row>
    <row r="1134" spans="1:38"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IF(Table1[[#This Row],[Attrition]]="Yes",1,0)</f>
        <v>0</v>
      </c>
      <c r="AK1134" t="str">
        <f t="shared" si="34"/>
        <v>Experienced</v>
      </c>
      <c r="AL1134" t="str">
        <f t="shared" si="35"/>
        <v>Medium Income</v>
      </c>
    </row>
    <row r="1135" spans="1:38"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IF(Table1[[#This Row],[Attrition]]="Yes",1,0)</f>
        <v>0</v>
      </c>
      <c r="AK1135" t="str">
        <f t="shared" si="34"/>
        <v>Experienced</v>
      </c>
      <c r="AL1135" t="str">
        <f t="shared" si="35"/>
        <v>Medium Income</v>
      </c>
    </row>
    <row r="1136" spans="1:38"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IF(Table1[[#This Row],[Attrition]]="Yes",1,0)</f>
        <v>0</v>
      </c>
      <c r="AK1136" t="str">
        <f t="shared" si="34"/>
        <v>Mid Career</v>
      </c>
      <c r="AL1136" t="str">
        <f t="shared" si="35"/>
        <v>Low Income</v>
      </c>
    </row>
    <row r="1137" spans="1:38"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IF(Table1[[#This Row],[Attrition]]="Yes",1,0)</f>
        <v>0</v>
      </c>
      <c r="AK1137" t="str">
        <f t="shared" si="34"/>
        <v>Experienced</v>
      </c>
      <c r="AL1137" t="str">
        <f t="shared" si="35"/>
        <v>High Income</v>
      </c>
    </row>
    <row r="1138" spans="1:38"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IF(Table1[[#This Row],[Attrition]]="Yes",1,0)</f>
        <v>1</v>
      </c>
      <c r="AK1138" t="str">
        <f t="shared" si="34"/>
        <v>Young</v>
      </c>
      <c r="AL1138" t="str">
        <f t="shared" si="35"/>
        <v>Low Income</v>
      </c>
    </row>
    <row r="1139" spans="1:38"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IF(Table1[[#This Row],[Attrition]]="Yes",1,0)</f>
        <v>0</v>
      </c>
      <c r="AK1139" t="str">
        <f t="shared" si="34"/>
        <v>Young</v>
      </c>
      <c r="AL1139" t="str">
        <f t="shared" si="35"/>
        <v>Low Income</v>
      </c>
    </row>
    <row r="1140" spans="1:38"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IF(Table1[[#This Row],[Attrition]]="Yes",1,0)</f>
        <v>0</v>
      </c>
      <c r="AK1140" t="str">
        <f t="shared" si="34"/>
        <v>Senior</v>
      </c>
      <c r="AL1140" t="str">
        <f t="shared" si="35"/>
        <v>High Income</v>
      </c>
    </row>
    <row r="1141" spans="1:38"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IF(Table1[[#This Row],[Attrition]]="Yes",1,0)</f>
        <v>0</v>
      </c>
      <c r="AK1141" t="str">
        <f t="shared" si="34"/>
        <v>Mid Career</v>
      </c>
      <c r="AL1141" t="str">
        <f t="shared" si="35"/>
        <v>Medium Income</v>
      </c>
    </row>
    <row r="1142" spans="1:38"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IF(Table1[[#This Row],[Attrition]]="Yes",1,0)</f>
        <v>0</v>
      </c>
      <c r="AK1142" t="str">
        <f t="shared" si="34"/>
        <v>Experienced</v>
      </c>
      <c r="AL1142" t="str">
        <f t="shared" si="35"/>
        <v>High Income</v>
      </c>
    </row>
    <row r="1143" spans="1:38"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IF(Table1[[#This Row],[Attrition]]="Yes",1,0)</f>
        <v>0</v>
      </c>
      <c r="AK1143" t="str">
        <f t="shared" si="34"/>
        <v>Mid Career</v>
      </c>
      <c r="AL1143" t="str">
        <f t="shared" si="35"/>
        <v>Low Income</v>
      </c>
    </row>
    <row r="1144" spans="1:38"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IF(Table1[[#This Row],[Attrition]]="Yes",1,0)</f>
        <v>0</v>
      </c>
      <c r="AK1144" t="str">
        <f t="shared" si="34"/>
        <v>Experienced</v>
      </c>
      <c r="AL1144" t="str">
        <f t="shared" si="35"/>
        <v>Medium Income</v>
      </c>
    </row>
    <row r="1145" spans="1:38"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IF(Table1[[#This Row],[Attrition]]="Yes",1,0)</f>
        <v>0</v>
      </c>
      <c r="AK1145" t="str">
        <f t="shared" si="34"/>
        <v>Experienced</v>
      </c>
      <c r="AL1145" t="str">
        <f t="shared" si="35"/>
        <v>Medium Income</v>
      </c>
    </row>
    <row r="1146" spans="1:38"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IF(Table1[[#This Row],[Attrition]]="Yes",1,0)</f>
        <v>0</v>
      </c>
      <c r="AK1146" t="str">
        <f t="shared" si="34"/>
        <v>Mid Career</v>
      </c>
      <c r="AL1146" t="str">
        <f t="shared" si="35"/>
        <v>Medium Income</v>
      </c>
    </row>
    <row r="1147" spans="1:38"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IF(Table1[[#This Row],[Attrition]]="Yes",1,0)</f>
        <v>0</v>
      </c>
      <c r="AK1147" t="str">
        <f t="shared" si="34"/>
        <v>Mid Career</v>
      </c>
      <c r="AL1147" t="str">
        <f t="shared" si="35"/>
        <v>Medium Income</v>
      </c>
    </row>
    <row r="1148" spans="1:38"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IF(Table1[[#This Row],[Attrition]]="Yes",1,0)</f>
        <v>0</v>
      </c>
      <c r="AK1148" t="str">
        <f t="shared" si="34"/>
        <v>Mid Career</v>
      </c>
      <c r="AL1148" t="str">
        <f t="shared" si="35"/>
        <v>Medium Income</v>
      </c>
    </row>
    <row r="1149" spans="1:38"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IF(Table1[[#This Row],[Attrition]]="Yes",1,0)</f>
        <v>0</v>
      </c>
      <c r="AK1149" t="str">
        <f t="shared" si="34"/>
        <v>Experienced</v>
      </c>
      <c r="AL1149" t="str">
        <f t="shared" si="35"/>
        <v>Medium Income</v>
      </c>
    </row>
    <row r="1150" spans="1:38"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IF(Table1[[#This Row],[Attrition]]="Yes",1,0)</f>
        <v>0</v>
      </c>
      <c r="AK1150" t="str">
        <f t="shared" si="34"/>
        <v>Mid Career</v>
      </c>
      <c r="AL1150" t="str">
        <f t="shared" si="35"/>
        <v>Medium Income</v>
      </c>
    </row>
    <row r="1151" spans="1:38"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IF(Table1[[#This Row],[Attrition]]="Yes",1,0)</f>
        <v>0</v>
      </c>
      <c r="AK1151" t="str">
        <f t="shared" si="34"/>
        <v>Young</v>
      </c>
      <c r="AL1151" t="str">
        <f t="shared" si="35"/>
        <v>Medium Income</v>
      </c>
    </row>
    <row r="1152" spans="1:38"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IF(Table1[[#This Row],[Attrition]]="Yes",1,0)</f>
        <v>0</v>
      </c>
      <c r="AK1152" t="str">
        <f t="shared" si="34"/>
        <v>Mid Career</v>
      </c>
      <c r="AL1152" t="str">
        <f t="shared" si="35"/>
        <v>Medium Income</v>
      </c>
    </row>
    <row r="1153" spans="1:38"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IF(Table1[[#This Row],[Attrition]]="Yes",1,0)</f>
        <v>0</v>
      </c>
      <c r="AK1153" t="str">
        <f t="shared" si="34"/>
        <v>Young</v>
      </c>
      <c r="AL1153" t="str">
        <f t="shared" si="35"/>
        <v>Medium Income</v>
      </c>
    </row>
    <row r="1154" spans="1:38"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IF(Table1[[#This Row],[Attrition]]="Yes",1,0)</f>
        <v>0</v>
      </c>
      <c r="AK1154" t="str">
        <f t="shared" ref="AK1154:AK1217" si="36">IF(A1154&lt;30,"Young",
IF(A1154&lt;40,"Mid Career",
IF(A1154&lt;50,"Experienced","Senior")))</f>
        <v>Young</v>
      </c>
      <c r="AL1154" t="str">
        <f t="shared" ref="AL1154:AL1217" si="37">IF(S1154&lt;3000,"Low Income",IF(S1154&lt;7000,"Medium Income","High Income"))</f>
        <v>Medium Income</v>
      </c>
    </row>
    <row r="1155" spans="1:38"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IF(Table1[[#This Row],[Attrition]]="Yes",1,0)</f>
        <v>1</v>
      </c>
      <c r="AK1155" t="str">
        <f t="shared" si="36"/>
        <v>Young</v>
      </c>
      <c r="AL1155" t="str">
        <f t="shared" si="37"/>
        <v>Low Income</v>
      </c>
    </row>
    <row r="1156" spans="1:38"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IF(Table1[[#This Row],[Attrition]]="Yes",1,0)</f>
        <v>0</v>
      </c>
      <c r="AK1156" t="str">
        <f t="shared" si="36"/>
        <v>Experienced</v>
      </c>
      <c r="AL1156" t="str">
        <f t="shared" si="37"/>
        <v>High Income</v>
      </c>
    </row>
    <row r="1157" spans="1:38"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IF(Table1[[#This Row],[Attrition]]="Yes",1,0)</f>
        <v>0</v>
      </c>
      <c r="AK1157" t="str">
        <f t="shared" si="36"/>
        <v>Mid Career</v>
      </c>
      <c r="AL1157" t="str">
        <f t="shared" si="37"/>
        <v>Medium Income</v>
      </c>
    </row>
    <row r="1158" spans="1:38"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IF(Table1[[#This Row],[Attrition]]="Yes",1,0)</f>
        <v>0</v>
      </c>
      <c r="AK1158" t="str">
        <f t="shared" si="36"/>
        <v>Experienced</v>
      </c>
      <c r="AL1158" t="str">
        <f t="shared" si="37"/>
        <v>High Income</v>
      </c>
    </row>
    <row r="1159" spans="1:38"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IF(Table1[[#This Row],[Attrition]]="Yes",1,0)</f>
        <v>0</v>
      </c>
      <c r="AK1159" t="str">
        <f t="shared" si="36"/>
        <v>Mid Career</v>
      </c>
      <c r="AL1159" t="str">
        <f t="shared" si="37"/>
        <v>Medium Income</v>
      </c>
    </row>
    <row r="1160" spans="1:38"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IF(Table1[[#This Row],[Attrition]]="Yes",1,0)</f>
        <v>0</v>
      </c>
      <c r="AK1160" t="str">
        <f t="shared" si="36"/>
        <v>Mid Career</v>
      </c>
      <c r="AL1160" t="str">
        <f t="shared" si="37"/>
        <v>Medium Income</v>
      </c>
    </row>
    <row r="1161" spans="1:38"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IF(Table1[[#This Row],[Attrition]]="Yes",1,0)</f>
        <v>0</v>
      </c>
      <c r="AK1161" t="str">
        <f t="shared" si="36"/>
        <v>Mid Career</v>
      </c>
      <c r="AL1161" t="str">
        <f t="shared" si="37"/>
        <v>Medium Income</v>
      </c>
    </row>
    <row r="1162" spans="1:38"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IF(Table1[[#This Row],[Attrition]]="Yes",1,0)</f>
        <v>0</v>
      </c>
      <c r="AK1162" t="str">
        <f t="shared" si="36"/>
        <v>Experienced</v>
      </c>
      <c r="AL1162" t="str">
        <f t="shared" si="37"/>
        <v>Medium Income</v>
      </c>
    </row>
    <row r="1163" spans="1:38"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IF(Table1[[#This Row],[Attrition]]="Yes",1,0)</f>
        <v>0</v>
      </c>
      <c r="AK1163" t="str">
        <f t="shared" si="36"/>
        <v>Mid Career</v>
      </c>
      <c r="AL1163" t="str">
        <f t="shared" si="37"/>
        <v>High Income</v>
      </c>
    </row>
    <row r="1164" spans="1:38"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IF(Table1[[#This Row],[Attrition]]="Yes",1,0)</f>
        <v>1</v>
      </c>
      <c r="AK1164" t="str">
        <f t="shared" si="36"/>
        <v>Mid Career</v>
      </c>
      <c r="AL1164" t="str">
        <f t="shared" si="37"/>
        <v>High Income</v>
      </c>
    </row>
    <row r="1165" spans="1:38"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IF(Table1[[#This Row],[Attrition]]="Yes",1,0)</f>
        <v>0</v>
      </c>
      <c r="AK1165" t="str">
        <f t="shared" si="36"/>
        <v>Mid Career</v>
      </c>
      <c r="AL1165" t="str">
        <f t="shared" si="37"/>
        <v>Medium Income</v>
      </c>
    </row>
    <row r="1166" spans="1:38"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IF(Table1[[#This Row],[Attrition]]="Yes",1,0)</f>
        <v>0</v>
      </c>
      <c r="AK1166" t="str">
        <f t="shared" si="36"/>
        <v>Experienced</v>
      </c>
      <c r="AL1166" t="str">
        <f t="shared" si="37"/>
        <v>High Income</v>
      </c>
    </row>
    <row r="1167" spans="1:38"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IF(Table1[[#This Row],[Attrition]]="Yes",1,0)</f>
        <v>0</v>
      </c>
      <c r="AK1167" t="str">
        <f t="shared" si="36"/>
        <v>Experienced</v>
      </c>
      <c r="AL1167" t="str">
        <f t="shared" si="37"/>
        <v>Medium Income</v>
      </c>
    </row>
    <row r="1168" spans="1:38"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IF(Table1[[#This Row],[Attrition]]="Yes",1,0)</f>
        <v>0</v>
      </c>
      <c r="AK1168" t="str">
        <f t="shared" si="36"/>
        <v>Experienced</v>
      </c>
      <c r="AL1168" t="str">
        <f t="shared" si="37"/>
        <v>High Income</v>
      </c>
    </row>
    <row r="1169" spans="1:38"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IF(Table1[[#This Row],[Attrition]]="Yes",1,0)</f>
        <v>1</v>
      </c>
      <c r="AK1169" t="str">
        <f t="shared" si="36"/>
        <v>Mid Career</v>
      </c>
      <c r="AL1169" t="str">
        <f t="shared" si="37"/>
        <v>Medium Income</v>
      </c>
    </row>
    <row r="1170" spans="1:38"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IF(Table1[[#This Row],[Attrition]]="Yes",1,0)</f>
        <v>0</v>
      </c>
      <c r="AK1170" t="str">
        <f t="shared" si="36"/>
        <v>Young</v>
      </c>
      <c r="AL1170" t="str">
        <f t="shared" si="37"/>
        <v>Medium Income</v>
      </c>
    </row>
    <row r="1171" spans="1:38"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IF(Table1[[#This Row],[Attrition]]="Yes",1,0)</f>
        <v>0</v>
      </c>
      <c r="AK1171" t="str">
        <f t="shared" si="36"/>
        <v>Young</v>
      </c>
      <c r="AL1171" t="str">
        <f t="shared" si="37"/>
        <v>Medium Income</v>
      </c>
    </row>
    <row r="1172" spans="1:38"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IF(Table1[[#This Row],[Attrition]]="Yes",1,0)</f>
        <v>0</v>
      </c>
      <c r="AK1172" t="str">
        <f t="shared" si="36"/>
        <v>Young</v>
      </c>
      <c r="AL1172" t="str">
        <f t="shared" si="37"/>
        <v>Low Income</v>
      </c>
    </row>
    <row r="1173" spans="1:38"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IF(Table1[[#This Row],[Attrition]]="Yes",1,0)</f>
        <v>1</v>
      </c>
      <c r="AK1173" t="str">
        <f t="shared" si="36"/>
        <v>Experienced</v>
      </c>
      <c r="AL1173" t="str">
        <f t="shared" si="37"/>
        <v>Low Income</v>
      </c>
    </row>
    <row r="1174" spans="1:38"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IF(Table1[[#This Row],[Attrition]]="Yes",1,0)</f>
        <v>0</v>
      </c>
      <c r="AK1174" t="str">
        <f t="shared" si="36"/>
        <v>Young</v>
      </c>
      <c r="AL1174" t="str">
        <f t="shared" si="37"/>
        <v>Medium Income</v>
      </c>
    </row>
    <row r="1175" spans="1:38"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IF(Table1[[#This Row],[Attrition]]="Yes",1,0)</f>
        <v>0</v>
      </c>
      <c r="AK1175" t="str">
        <f t="shared" si="36"/>
        <v>Mid Career</v>
      </c>
      <c r="AL1175" t="str">
        <f t="shared" si="37"/>
        <v>High Income</v>
      </c>
    </row>
    <row r="1176" spans="1:38"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IF(Table1[[#This Row],[Attrition]]="Yes",1,0)</f>
        <v>0</v>
      </c>
      <c r="AK1176" t="str">
        <f t="shared" si="36"/>
        <v>Young</v>
      </c>
      <c r="AL1176" t="str">
        <f t="shared" si="37"/>
        <v>Medium Income</v>
      </c>
    </row>
    <row r="1177" spans="1:38"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IF(Table1[[#This Row],[Attrition]]="Yes",1,0)</f>
        <v>0</v>
      </c>
      <c r="AK1177" t="str">
        <f t="shared" si="36"/>
        <v>Mid Career</v>
      </c>
      <c r="AL1177" t="str">
        <f t="shared" si="37"/>
        <v>Medium Income</v>
      </c>
    </row>
    <row r="1178" spans="1:38"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IF(Table1[[#This Row],[Attrition]]="Yes",1,0)</f>
        <v>0</v>
      </c>
      <c r="AK1178" t="str">
        <f t="shared" si="36"/>
        <v>Experienced</v>
      </c>
      <c r="AL1178" t="str">
        <f t="shared" si="37"/>
        <v>High Income</v>
      </c>
    </row>
    <row r="1179" spans="1:38"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IF(Table1[[#This Row],[Attrition]]="Yes",1,0)</f>
        <v>0</v>
      </c>
      <c r="AK1179" t="str">
        <f t="shared" si="36"/>
        <v>Senior</v>
      </c>
      <c r="AL1179" t="str">
        <f t="shared" si="37"/>
        <v>High Income</v>
      </c>
    </row>
    <row r="1180" spans="1:38"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IF(Table1[[#This Row],[Attrition]]="Yes",1,0)</f>
        <v>0</v>
      </c>
      <c r="AK1180" t="str">
        <f t="shared" si="36"/>
        <v>Young</v>
      </c>
      <c r="AL1180" t="str">
        <f t="shared" si="37"/>
        <v>Low Income</v>
      </c>
    </row>
    <row r="1181" spans="1:38"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IF(Table1[[#This Row],[Attrition]]="Yes",1,0)</f>
        <v>0</v>
      </c>
      <c r="AK1181" t="str">
        <f t="shared" si="36"/>
        <v>Mid Career</v>
      </c>
      <c r="AL1181" t="str">
        <f t="shared" si="37"/>
        <v>Medium Income</v>
      </c>
    </row>
    <row r="1182" spans="1:38"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IF(Table1[[#This Row],[Attrition]]="Yes",1,0)</f>
        <v>0</v>
      </c>
      <c r="AK1182" t="str">
        <f t="shared" si="36"/>
        <v>Mid Career</v>
      </c>
      <c r="AL1182" t="str">
        <f t="shared" si="37"/>
        <v>Low Income</v>
      </c>
    </row>
    <row r="1183" spans="1:38"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IF(Table1[[#This Row],[Attrition]]="Yes",1,0)</f>
        <v>0</v>
      </c>
      <c r="AK1183" t="str">
        <f t="shared" si="36"/>
        <v>Experienced</v>
      </c>
      <c r="AL1183" t="str">
        <f t="shared" si="37"/>
        <v>High Income</v>
      </c>
    </row>
    <row r="1184" spans="1:38"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IF(Table1[[#This Row],[Attrition]]="Yes",1,0)</f>
        <v>0</v>
      </c>
      <c r="AK1184" t="str">
        <f t="shared" si="36"/>
        <v>Mid Career</v>
      </c>
      <c r="AL1184" t="str">
        <f t="shared" si="37"/>
        <v>Medium Income</v>
      </c>
    </row>
    <row r="1185" spans="1:38"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IF(Table1[[#This Row],[Attrition]]="Yes",1,0)</f>
        <v>0</v>
      </c>
      <c r="AK1185" t="str">
        <f t="shared" si="36"/>
        <v>Mid Career</v>
      </c>
      <c r="AL1185" t="str">
        <f t="shared" si="37"/>
        <v>Medium Income</v>
      </c>
    </row>
    <row r="1186" spans="1:38"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IF(Table1[[#This Row],[Attrition]]="Yes",1,0)</f>
        <v>0</v>
      </c>
      <c r="AK1186" t="str">
        <f t="shared" si="36"/>
        <v>Senior</v>
      </c>
      <c r="AL1186" t="str">
        <f t="shared" si="37"/>
        <v>High Income</v>
      </c>
    </row>
    <row r="1187" spans="1:38"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IF(Table1[[#This Row],[Attrition]]="Yes",1,0)</f>
        <v>0</v>
      </c>
      <c r="AK1187" t="str">
        <f t="shared" si="36"/>
        <v>Experienced</v>
      </c>
      <c r="AL1187" t="str">
        <f t="shared" si="37"/>
        <v>High Income</v>
      </c>
    </row>
    <row r="1188" spans="1:38"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IF(Table1[[#This Row],[Attrition]]="Yes",1,0)</f>
        <v>1</v>
      </c>
      <c r="AK1188" t="str">
        <f t="shared" si="36"/>
        <v>Mid Career</v>
      </c>
      <c r="AL1188" t="str">
        <f t="shared" si="37"/>
        <v>Medium Income</v>
      </c>
    </row>
    <row r="1189" spans="1:38"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IF(Table1[[#This Row],[Attrition]]="Yes",1,0)</f>
        <v>0</v>
      </c>
      <c r="AK1189" t="str">
        <f t="shared" si="36"/>
        <v>Mid Career</v>
      </c>
      <c r="AL1189" t="str">
        <f t="shared" si="37"/>
        <v>Medium Income</v>
      </c>
    </row>
    <row r="1190" spans="1:38"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IF(Table1[[#This Row],[Attrition]]="Yes",1,0)</f>
        <v>0</v>
      </c>
      <c r="AK1190" t="str">
        <f t="shared" si="36"/>
        <v>Young</v>
      </c>
      <c r="AL1190" t="str">
        <f t="shared" si="37"/>
        <v>Medium Income</v>
      </c>
    </row>
    <row r="1191" spans="1:38"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IF(Table1[[#This Row],[Attrition]]="Yes",1,0)</f>
        <v>0</v>
      </c>
      <c r="AK1191" t="str">
        <f t="shared" si="36"/>
        <v>Mid Career</v>
      </c>
      <c r="AL1191" t="str">
        <f t="shared" si="37"/>
        <v>Medium Income</v>
      </c>
    </row>
    <row r="1192" spans="1:38"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IF(Table1[[#This Row],[Attrition]]="Yes",1,0)</f>
        <v>0</v>
      </c>
      <c r="AK1192" t="str">
        <f t="shared" si="36"/>
        <v>Mid Career</v>
      </c>
      <c r="AL1192" t="str">
        <f t="shared" si="37"/>
        <v>Medium Income</v>
      </c>
    </row>
    <row r="1193" spans="1:38"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IF(Table1[[#This Row],[Attrition]]="Yes",1,0)</f>
        <v>0</v>
      </c>
      <c r="AK1193" t="str">
        <f t="shared" si="36"/>
        <v>Mid Career</v>
      </c>
      <c r="AL1193" t="str">
        <f t="shared" si="37"/>
        <v>Medium Income</v>
      </c>
    </row>
    <row r="1194" spans="1:38"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IF(Table1[[#This Row],[Attrition]]="Yes",1,0)</f>
        <v>0</v>
      </c>
      <c r="AK1194" t="str">
        <f t="shared" si="36"/>
        <v>Experienced</v>
      </c>
      <c r="AL1194" t="str">
        <f t="shared" si="37"/>
        <v>Low Income</v>
      </c>
    </row>
    <row r="1195" spans="1:38"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IF(Table1[[#This Row],[Attrition]]="Yes",1,0)</f>
        <v>0</v>
      </c>
      <c r="AK1195" t="str">
        <f t="shared" si="36"/>
        <v>Mid Career</v>
      </c>
      <c r="AL1195" t="str">
        <f t="shared" si="37"/>
        <v>Low Income</v>
      </c>
    </row>
    <row r="1196" spans="1:38"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IF(Table1[[#This Row],[Attrition]]="Yes",1,0)</f>
        <v>0</v>
      </c>
      <c r="AK1196" t="str">
        <f t="shared" si="36"/>
        <v>Experienced</v>
      </c>
      <c r="AL1196" t="str">
        <f t="shared" si="37"/>
        <v>High Income</v>
      </c>
    </row>
    <row r="1197" spans="1:38"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IF(Table1[[#This Row],[Attrition]]="Yes",1,0)</f>
        <v>0</v>
      </c>
      <c r="AK1197" t="str">
        <f t="shared" si="36"/>
        <v>Experienced</v>
      </c>
      <c r="AL1197" t="str">
        <f t="shared" si="37"/>
        <v>High Income</v>
      </c>
    </row>
    <row r="1198" spans="1:38"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IF(Table1[[#This Row],[Attrition]]="Yes",1,0)</f>
        <v>0</v>
      </c>
      <c r="AK1198" t="str">
        <f t="shared" si="36"/>
        <v>Experienced</v>
      </c>
      <c r="AL1198" t="str">
        <f t="shared" si="37"/>
        <v>High Income</v>
      </c>
    </row>
    <row r="1199" spans="1:38"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IF(Table1[[#This Row],[Attrition]]="Yes",1,0)</f>
        <v>0</v>
      </c>
      <c r="AK1199" t="str">
        <f t="shared" si="36"/>
        <v>Young</v>
      </c>
      <c r="AL1199" t="str">
        <f t="shared" si="37"/>
        <v>Low Income</v>
      </c>
    </row>
    <row r="1200" spans="1:38"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IF(Table1[[#This Row],[Attrition]]="Yes",1,0)</f>
        <v>0</v>
      </c>
      <c r="AK1200" t="str">
        <f t="shared" si="36"/>
        <v>Mid Career</v>
      </c>
      <c r="AL1200" t="str">
        <f t="shared" si="37"/>
        <v>Medium Income</v>
      </c>
    </row>
    <row r="1201" spans="1:38"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IF(Table1[[#This Row],[Attrition]]="Yes",1,0)</f>
        <v>0</v>
      </c>
      <c r="AK1201" t="str">
        <f t="shared" si="36"/>
        <v>Mid Career</v>
      </c>
      <c r="AL1201" t="str">
        <f t="shared" si="37"/>
        <v>Medium Income</v>
      </c>
    </row>
    <row r="1202" spans="1:38"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IF(Table1[[#This Row],[Attrition]]="Yes",1,0)</f>
        <v>0</v>
      </c>
      <c r="AK1202" t="str">
        <f t="shared" si="36"/>
        <v>Experienced</v>
      </c>
      <c r="AL1202" t="str">
        <f t="shared" si="37"/>
        <v>Medium Income</v>
      </c>
    </row>
    <row r="1203" spans="1:38"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IF(Table1[[#This Row],[Attrition]]="Yes",1,0)</f>
        <v>1</v>
      </c>
      <c r="AK1203" t="str">
        <f t="shared" si="36"/>
        <v>Young</v>
      </c>
      <c r="AL1203" t="str">
        <f t="shared" si="37"/>
        <v>Medium Income</v>
      </c>
    </row>
    <row r="1204" spans="1:38"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IF(Table1[[#This Row],[Attrition]]="Yes",1,0)</f>
        <v>0</v>
      </c>
      <c r="AK1204" t="str">
        <f t="shared" si="36"/>
        <v>Mid Career</v>
      </c>
      <c r="AL1204" t="str">
        <f t="shared" si="37"/>
        <v>Medium Income</v>
      </c>
    </row>
    <row r="1205" spans="1:38"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IF(Table1[[#This Row],[Attrition]]="Yes",1,0)</f>
        <v>0</v>
      </c>
      <c r="AK1205" t="str">
        <f t="shared" si="36"/>
        <v>Senior</v>
      </c>
      <c r="AL1205" t="str">
        <f t="shared" si="37"/>
        <v>High Income</v>
      </c>
    </row>
    <row r="1206" spans="1:38"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IF(Table1[[#This Row],[Attrition]]="Yes",1,0)</f>
        <v>1</v>
      </c>
      <c r="AK1206" t="str">
        <f t="shared" si="36"/>
        <v>Experienced</v>
      </c>
      <c r="AL1206" t="str">
        <f t="shared" si="37"/>
        <v>Low Income</v>
      </c>
    </row>
    <row r="1207" spans="1:38"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IF(Table1[[#This Row],[Attrition]]="Yes",1,0)</f>
        <v>1</v>
      </c>
      <c r="AK1207" t="str">
        <f t="shared" si="36"/>
        <v>Mid Career</v>
      </c>
      <c r="AL1207" t="str">
        <f t="shared" si="37"/>
        <v>Low Income</v>
      </c>
    </row>
    <row r="1208" spans="1:38"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IF(Table1[[#This Row],[Attrition]]="Yes",1,0)</f>
        <v>0</v>
      </c>
      <c r="AK1208" t="str">
        <f t="shared" si="36"/>
        <v>Young</v>
      </c>
      <c r="AL1208" t="str">
        <f t="shared" si="37"/>
        <v>Low Income</v>
      </c>
    </row>
    <row r="1209" spans="1:38"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IF(Table1[[#This Row],[Attrition]]="Yes",1,0)</f>
        <v>0</v>
      </c>
      <c r="AK1209" t="str">
        <f t="shared" si="36"/>
        <v>Senior</v>
      </c>
      <c r="AL1209" t="str">
        <f t="shared" si="37"/>
        <v>Medium Income</v>
      </c>
    </row>
    <row r="1210" spans="1:38"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IF(Table1[[#This Row],[Attrition]]="Yes",1,0)</f>
        <v>0</v>
      </c>
      <c r="AK1210" t="str">
        <f t="shared" si="36"/>
        <v>Mid Career</v>
      </c>
      <c r="AL1210" t="str">
        <f t="shared" si="37"/>
        <v>Medium Income</v>
      </c>
    </row>
    <row r="1211" spans="1:38"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IF(Table1[[#This Row],[Attrition]]="Yes",1,0)</f>
        <v>0</v>
      </c>
      <c r="AK1211" t="str">
        <f t="shared" si="36"/>
        <v>Senior</v>
      </c>
      <c r="AL1211" t="str">
        <f t="shared" si="37"/>
        <v>High Income</v>
      </c>
    </row>
    <row r="1212" spans="1:38"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IF(Table1[[#This Row],[Attrition]]="Yes",1,0)</f>
        <v>0</v>
      </c>
      <c r="AK1212" t="str">
        <f t="shared" si="36"/>
        <v>Mid Career</v>
      </c>
      <c r="AL1212" t="str">
        <f t="shared" si="37"/>
        <v>Low Income</v>
      </c>
    </row>
    <row r="1213" spans="1:38"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IF(Table1[[#This Row],[Attrition]]="Yes",1,0)</f>
        <v>0</v>
      </c>
      <c r="AK1213" t="str">
        <f t="shared" si="36"/>
        <v>Mid Career</v>
      </c>
      <c r="AL1213" t="str">
        <f t="shared" si="37"/>
        <v>High Income</v>
      </c>
    </row>
    <row r="1214" spans="1:38"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IF(Table1[[#This Row],[Attrition]]="Yes",1,0)</f>
        <v>0</v>
      </c>
      <c r="AK1214" t="str">
        <f t="shared" si="36"/>
        <v>Mid Career</v>
      </c>
      <c r="AL1214" t="str">
        <f t="shared" si="37"/>
        <v>Low Income</v>
      </c>
    </row>
    <row r="1215" spans="1:38"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IF(Table1[[#This Row],[Attrition]]="Yes",1,0)</f>
        <v>1</v>
      </c>
      <c r="AK1215" t="str">
        <f t="shared" si="36"/>
        <v>Young</v>
      </c>
      <c r="AL1215" t="str">
        <f t="shared" si="37"/>
        <v>Low Income</v>
      </c>
    </row>
    <row r="1216" spans="1:38"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IF(Table1[[#This Row],[Attrition]]="Yes",1,0)</f>
        <v>0</v>
      </c>
      <c r="AK1216" t="str">
        <f t="shared" si="36"/>
        <v>Experienced</v>
      </c>
      <c r="AL1216" t="str">
        <f t="shared" si="37"/>
        <v>High Income</v>
      </c>
    </row>
    <row r="1217" spans="1:38"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IF(Table1[[#This Row],[Attrition]]="Yes",1,0)</f>
        <v>0</v>
      </c>
      <c r="AK1217" t="str">
        <f t="shared" si="36"/>
        <v>Mid Career</v>
      </c>
      <c r="AL1217" t="str">
        <f t="shared" si="37"/>
        <v>Medium Income</v>
      </c>
    </row>
    <row r="1218" spans="1:38"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IF(Table1[[#This Row],[Attrition]]="Yes",1,0)</f>
        <v>0</v>
      </c>
      <c r="AK1218" t="str">
        <f t="shared" ref="AK1218:AK1281" si="38">IF(A1218&lt;30,"Young",
IF(A1218&lt;40,"Mid Career",
IF(A1218&lt;50,"Experienced","Senior")))</f>
        <v>Experienced</v>
      </c>
      <c r="AL1218" t="str">
        <f t="shared" ref="AL1218:AL1281" si="39">IF(S1218&lt;3000,"Low Income",IF(S1218&lt;7000,"Medium Income","High Income"))</f>
        <v>High Income</v>
      </c>
    </row>
    <row r="1219" spans="1:38"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IF(Table1[[#This Row],[Attrition]]="Yes",1,0)</f>
        <v>0</v>
      </c>
      <c r="AK1219" t="str">
        <f t="shared" si="38"/>
        <v>Young</v>
      </c>
      <c r="AL1219" t="str">
        <f t="shared" si="39"/>
        <v>Medium Income</v>
      </c>
    </row>
    <row r="1220" spans="1:38"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IF(Table1[[#This Row],[Attrition]]="Yes",1,0)</f>
        <v>0</v>
      </c>
      <c r="AK1220" t="str">
        <f t="shared" si="38"/>
        <v>Experienced</v>
      </c>
      <c r="AL1220" t="str">
        <f t="shared" si="39"/>
        <v>High Income</v>
      </c>
    </row>
    <row r="1221" spans="1:38"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IF(Table1[[#This Row],[Attrition]]="Yes",1,0)</f>
        <v>0</v>
      </c>
      <c r="AK1221" t="str">
        <f t="shared" si="38"/>
        <v>Young</v>
      </c>
      <c r="AL1221" t="str">
        <f t="shared" si="39"/>
        <v>Low Income</v>
      </c>
    </row>
    <row r="1222" spans="1:38"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IF(Table1[[#This Row],[Attrition]]="Yes",1,0)</f>
        <v>0</v>
      </c>
      <c r="AK1222" t="str">
        <f t="shared" si="38"/>
        <v>Mid Career</v>
      </c>
      <c r="AL1222" t="str">
        <f t="shared" si="39"/>
        <v>Medium Income</v>
      </c>
    </row>
    <row r="1223" spans="1:38"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IF(Table1[[#This Row],[Attrition]]="Yes",1,0)</f>
        <v>0</v>
      </c>
      <c r="AK1223" t="str">
        <f t="shared" si="38"/>
        <v>Experienced</v>
      </c>
      <c r="AL1223" t="str">
        <f t="shared" si="39"/>
        <v>High Income</v>
      </c>
    </row>
    <row r="1224" spans="1:38"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IF(Table1[[#This Row],[Attrition]]="Yes",1,0)</f>
        <v>1</v>
      </c>
      <c r="AK1224" t="str">
        <f t="shared" si="38"/>
        <v>Young</v>
      </c>
      <c r="AL1224" t="str">
        <f t="shared" si="39"/>
        <v>Low Income</v>
      </c>
    </row>
    <row r="1225" spans="1:38"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IF(Table1[[#This Row],[Attrition]]="Yes",1,0)</f>
        <v>1</v>
      </c>
      <c r="AK1225" t="str">
        <f t="shared" si="38"/>
        <v>Experienced</v>
      </c>
      <c r="AL1225" t="str">
        <f t="shared" si="39"/>
        <v>High Income</v>
      </c>
    </row>
    <row r="1226" spans="1:38"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IF(Table1[[#This Row],[Attrition]]="Yes",1,0)</f>
        <v>0</v>
      </c>
      <c r="AK1226" t="str">
        <f t="shared" si="38"/>
        <v>Young</v>
      </c>
      <c r="AL1226" t="str">
        <f t="shared" si="39"/>
        <v>Low Income</v>
      </c>
    </row>
    <row r="1227" spans="1:38"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IF(Table1[[#This Row],[Attrition]]="Yes",1,0)</f>
        <v>0</v>
      </c>
      <c r="AK1227" t="str">
        <f t="shared" si="38"/>
        <v>Experienced</v>
      </c>
      <c r="AL1227" t="str">
        <f t="shared" si="39"/>
        <v>High Income</v>
      </c>
    </row>
    <row r="1228" spans="1:38"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IF(Table1[[#This Row],[Attrition]]="Yes",1,0)</f>
        <v>0</v>
      </c>
      <c r="AK1228" t="str">
        <f t="shared" si="38"/>
        <v>Mid Career</v>
      </c>
      <c r="AL1228" t="str">
        <f t="shared" si="39"/>
        <v>Medium Income</v>
      </c>
    </row>
    <row r="1229" spans="1:38"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IF(Table1[[#This Row],[Attrition]]="Yes",1,0)</f>
        <v>0</v>
      </c>
      <c r="AK1229" t="str">
        <f t="shared" si="38"/>
        <v>Mid Career</v>
      </c>
      <c r="AL1229" t="str">
        <f t="shared" si="39"/>
        <v>Medium Income</v>
      </c>
    </row>
    <row r="1230" spans="1:38"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IF(Table1[[#This Row],[Attrition]]="Yes",1,0)</f>
        <v>0</v>
      </c>
      <c r="AK1230" t="str">
        <f t="shared" si="38"/>
        <v>Experienced</v>
      </c>
      <c r="AL1230" t="str">
        <f t="shared" si="39"/>
        <v>Medium Income</v>
      </c>
    </row>
    <row r="1231" spans="1:38"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IF(Table1[[#This Row],[Attrition]]="Yes",1,0)</f>
        <v>0</v>
      </c>
      <c r="AK1231" t="str">
        <f t="shared" si="38"/>
        <v>Experienced</v>
      </c>
      <c r="AL1231" t="str">
        <f t="shared" si="39"/>
        <v>Medium Income</v>
      </c>
    </row>
    <row r="1232" spans="1:38"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IF(Table1[[#This Row],[Attrition]]="Yes",1,0)</f>
        <v>0</v>
      </c>
      <c r="AK1232" t="str">
        <f t="shared" si="38"/>
        <v>Young</v>
      </c>
      <c r="AL1232" t="str">
        <f t="shared" si="39"/>
        <v>Medium Income</v>
      </c>
    </row>
    <row r="1233" spans="1:38"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IF(Table1[[#This Row],[Attrition]]="Yes",1,0)</f>
        <v>0</v>
      </c>
      <c r="AK1233" t="str">
        <f t="shared" si="38"/>
        <v>Experienced</v>
      </c>
      <c r="AL1233" t="str">
        <f t="shared" si="39"/>
        <v>Medium Income</v>
      </c>
    </row>
    <row r="1234" spans="1:38"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IF(Table1[[#This Row],[Attrition]]="Yes",1,0)</f>
        <v>0</v>
      </c>
      <c r="AK1234" t="str">
        <f t="shared" si="38"/>
        <v>Mid Career</v>
      </c>
      <c r="AL1234" t="str">
        <f t="shared" si="39"/>
        <v>Medium Income</v>
      </c>
    </row>
    <row r="1235" spans="1:38"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IF(Table1[[#This Row],[Attrition]]="Yes",1,0)</f>
        <v>0</v>
      </c>
      <c r="AK1235" t="str">
        <f t="shared" si="38"/>
        <v>Mid Career</v>
      </c>
      <c r="AL1235" t="str">
        <f t="shared" si="39"/>
        <v>Low Income</v>
      </c>
    </row>
    <row r="1236" spans="1:38"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IF(Table1[[#This Row],[Attrition]]="Yes",1,0)</f>
        <v>0</v>
      </c>
      <c r="AK1236" t="str">
        <f t="shared" si="38"/>
        <v>Experienced</v>
      </c>
      <c r="AL1236" t="str">
        <f t="shared" si="39"/>
        <v>Medium Income</v>
      </c>
    </row>
    <row r="1237" spans="1:38"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IF(Table1[[#This Row],[Attrition]]="Yes",1,0)</f>
        <v>0</v>
      </c>
      <c r="AK1237" t="str">
        <f t="shared" si="38"/>
        <v>Experienced</v>
      </c>
      <c r="AL1237" t="str">
        <f t="shared" si="39"/>
        <v>High Income</v>
      </c>
    </row>
    <row r="1238" spans="1:38"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IF(Table1[[#This Row],[Attrition]]="Yes",1,0)</f>
        <v>1</v>
      </c>
      <c r="AK1238" t="str">
        <f t="shared" si="38"/>
        <v>Mid Career</v>
      </c>
      <c r="AL1238" t="str">
        <f t="shared" si="39"/>
        <v>Medium Income</v>
      </c>
    </row>
    <row r="1239" spans="1:38"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IF(Table1[[#This Row],[Attrition]]="Yes",1,0)</f>
        <v>1</v>
      </c>
      <c r="AK1239" t="str">
        <f t="shared" si="38"/>
        <v>Mid Career</v>
      </c>
      <c r="AL1239" t="str">
        <f t="shared" si="39"/>
        <v>Medium Income</v>
      </c>
    </row>
    <row r="1240" spans="1:38"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IF(Table1[[#This Row],[Attrition]]="Yes",1,0)</f>
        <v>0</v>
      </c>
      <c r="AK1240" t="str">
        <f t="shared" si="38"/>
        <v>Young</v>
      </c>
      <c r="AL1240" t="str">
        <f t="shared" si="39"/>
        <v>Medium Income</v>
      </c>
    </row>
    <row r="1241" spans="1:38"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IF(Table1[[#This Row],[Attrition]]="Yes",1,0)</f>
        <v>0</v>
      </c>
      <c r="AK1241" t="str">
        <f t="shared" si="38"/>
        <v>Mid Career</v>
      </c>
      <c r="AL1241" t="str">
        <f t="shared" si="39"/>
        <v>Medium Income</v>
      </c>
    </row>
    <row r="1242" spans="1:38"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IF(Table1[[#This Row],[Attrition]]="Yes",1,0)</f>
        <v>0</v>
      </c>
      <c r="AK1242" t="str">
        <f t="shared" si="38"/>
        <v>Mid Career</v>
      </c>
      <c r="AL1242" t="str">
        <f t="shared" si="39"/>
        <v>Medium Income</v>
      </c>
    </row>
    <row r="1243" spans="1:38"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IF(Table1[[#This Row],[Attrition]]="Yes",1,0)</f>
        <v>0</v>
      </c>
      <c r="AK1243" t="str">
        <f t="shared" si="38"/>
        <v>Mid Career</v>
      </c>
      <c r="AL1243" t="str">
        <f t="shared" si="39"/>
        <v>High Income</v>
      </c>
    </row>
    <row r="1244" spans="1:38"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IF(Table1[[#This Row],[Attrition]]="Yes",1,0)</f>
        <v>0</v>
      </c>
      <c r="AK1244" t="str">
        <f t="shared" si="38"/>
        <v>Experienced</v>
      </c>
      <c r="AL1244" t="str">
        <f t="shared" si="39"/>
        <v>High Income</v>
      </c>
    </row>
    <row r="1245" spans="1:38"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IF(Table1[[#This Row],[Attrition]]="Yes",1,0)</f>
        <v>0</v>
      </c>
      <c r="AK1245" t="str">
        <f t="shared" si="38"/>
        <v>Experienced</v>
      </c>
      <c r="AL1245" t="str">
        <f t="shared" si="39"/>
        <v>High Income</v>
      </c>
    </row>
    <row r="1246" spans="1:38"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IF(Table1[[#This Row],[Attrition]]="Yes",1,0)</f>
        <v>0</v>
      </c>
      <c r="AK1246" t="str">
        <f t="shared" si="38"/>
        <v>Mid Career</v>
      </c>
      <c r="AL1246" t="str">
        <f t="shared" si="39"/>
        <v>Medium Income</v>
      </c>
    </row>
    <row r="1247" spans="1:38"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IF(Table1[[#This Row],[Attrition]]="Yes",1,0)</f>
        <v>0</v>
      </c>
      <c r="AK1247" t="str">
        <f t="shared" si="38"/>
        <v>Young</v>
      </c>
      <c r="AL1247" t="str">
        <f t="shared" si="39"/>
        <v>Low Income</v>
      </c>
    </row>
    <row r="1248" spans="1:38"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IF(Table1[[#This Row],[Attrition]]="Yes",1,0)</f>
        <v>1</v>
      </c>
      <c r="AK1248" t="str">
        <f t="shared" si="38"/>
        <v>Mid Career</v>
      </c>
      <c r="AL1248" t="str">
        <f t="shared" si="39"/>
        <v>Low Income</v>
      </c>
    </row>
    <row r="1249" spans="1:38"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IF(Table1[[#This Row],[Attrition]]="Yes",1,0)</f>
        <v>0</v>
      </c>
      <c r="AK1249" t="str">
        <f t="shared" si="38"/>
        <v>Mid Career</v>
      </c>
      <c r="AL1249" t="str">
        <f t="shared" si="39"/>
        <v>High Income</v>
      </c>
    </row>
    <row r="1250" spans="1:38"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IF(Table1[[#This Row],[Attrition]]="Yes",1,0)</f>
        <v>0</v>
      </c>
      <c r="AK1250" t="str">
        <f t="shared" si="38"/>
        <v>Young</v>
      </c>
      <c r="AL1250" t="str">
        <f t="shared" si="39"/>
        <v>Medium Income</v>
      </c>
    </row>
    <row r="1251" spans="1:38"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IF(Table1[[#This Row],[Attrition]]="Yes",1,0)</f>
        <v>1</v>
      </c>
      <c r="AK1251" t="str">
        <f t="shared" si="38"/>
        <v>Young</v>
      </c>
      <c r="AL1251" t="str">
        <f t="shared" si="39"/>
        <v>Low Income</v>
      </c>
    </row>
    <row r="1252" spans="1:38"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IF(Table1[[#This Row],[Attrition]]="Yes",1,0)</f>
        <v>0</v>
      </c>
      <c r="AK1252" t="str">
        <f t="shared" si="38"/>
        <v>Young</v>
      </c>
      <c r="AL1252" t="str">
        <f t="shared" si="39"/>
        <v>Medium Income</v>
      </c>
    </row>
    <row r="1253" spans="1:38"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IF(Table1[[#This Row],[Attrition]]="Yes",1,0)</f>
        <v>0</v>
      </c>
      <c r="AK1253" t="str">
        <f t="shared" si="38"/>
        <v>Mid Career</v>
      </c>
      <c r="AL1253" t="str">
        <f t="shared" si="39"/>
        <v>High Income</v>
      </c>
    </row>
    <row r="1254" spans="1:38"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IF(Table1[[#This Row],[Attrition]]="Yes",1,0)</f>
        <v>0</v>
      </c>
      <c r="AK1254" t="str">
        <f t="shared" si="38"/>
        <v>Mid Career</v>
      </c>
      <c r="AL1254" t="str">
        <f t="shared" si="39"/>
        <v>Low Income</v>
      </c>
    </row>
    <row r="1255" spans="1:38"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IF(Table1[[#This Row],[Attrition]]="Yes",1,0)</f>
        <v>0</v>
      </c>
      <c r="AK1255" t="str">
        <f t="shared" si="38"/>
        <v>Mid Career</v>
      </c>
      <c r="AL1255" t="str">
        <f t="shared" si="39"/>
        <v>Medium Income</v>
      </c>
    </row>
    <row r="1256" spans="1:38"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IF(Table1[[#This Row],[Attrition]]="Yes",1,0)</f>
        <v>0</v>
      </c>
      <c r="AK1256" t="str">
        <f t="shared" si="38"/>
        <v>Experienced</v>
      </c>
      <c r="AL1256" t="str">
        <f t="shared" si="39"/>
        <v>Medium Income</v>
      </c>
    </row>
    <row r="1257" spans="1:38"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IF(Table1[[#This Row],[Attrition]]="Yes",1,0)</f>
        <v>1</v>
      </c>
      <c r="AK1257" t="str">
        <f t="shared" si="38"/>
        <v>Mid Career</v>
      </c>
      <c r="AL1257" t="str">
        <f t="shared" si="39"/>
        <v>High Income</v>
      </c>
    </row>
    <row r="1258" spans="1:38"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IF(Table1[[#This Row],[Attrition]]="Yes",1,0)</f>
        <v>0</v>
      </c>
      <c r="AK1258" t="str">
        <f t="shared" si="38"/>
        <v>Mid Career</v>
      </c>
      <c r="AL1258" t="str">
        <f t="shared" si="39"/>
        <v>Low Income</v>
      </c>
    </row>
    <row r="1259" spans="1:38"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IF(Table1[[#This Row],[Attrition]]="Yes",1,0)</f>
        <v>1</v>
      </c>
      <c r="AK1259" t="str">
        <f t="shared" si="38"/>
        <v>Mid Career</v>
      </c>
      <c r="AL1259" t="str">
        <f t="shared" si="39"/>
        <v>High Income</v>
      </c>
    </row>
    <row r="1260" spans="1:38"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IF(Table1[[#This Row],[Attrition]]="Yes",1,0)</f>
        <v>0</v>
      </c>
      <c r="AK1260" t="str">
        <f t="shared" si="38"/>
        <v>Young</v>
      </c>
      <c r="AL1260" t="str">
        <f t="shared" si="39"/>
        <v>Low Income</v>
      </c>
    </row>
    <row r="1261" spans="1:38"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IF(Table1[[#This Row],[Attrition]]="Yes",1,0)</f>
        <v>0</v>
      </c>
      <c r="AK1261" t="str">
        <f t="shared" si="38"/>
        <v>Mid Career</v>
      </c>
      <c r="AL1261" t="str">
        <f t="shared" si="39"/>
        <v>Medium Income</v>
      </c>
    </row>
    <row r="1262" spans="1:38"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IF(Table1[[#This Row],[Attrition]]="Yes",1,0)</f>
        <v>0</v>
      </c>
      <c r="AK1262" t="str">
        <f t="shared" si="38"/>
        <v>Mid Career</v>
      </c>
      <c r="AL1262" t="str">
        <f t="shared" si="39"/>
        <v>Low Income</v>
      </c>
    </row>
    <row r="1263" spans="1:38"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IF(Table1[[#This Row],[Attrition]]="Yes",1,0)</f>
        <v>0</v>
      </c>
      <c r="AK1263" t="str">
        <f t="shared" si="38"/>
        <v>Mid Career</v>
      </c>
      <c r="AL1263" t="str">
        <f t="shared" si="39"/>
        <v>Medium Income</v>
      </c>
    </row>
    <row r="1264" spans="1:38"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IF(Table1[[#This Row],[Attrition]]="Yes",1,0)</f>
        <v>1</v>
      </c>
      <c r="AK1264" t="str">
        <f t="shared" si="38"/>
        <v>Experienced</v>
      </c>
      <c r="AL1264" t="str">
        <f t="shared" si="39"/>
        <v>Low Income</v>
      </c>
    </row>
    <row r="1265" spans="1:38"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IF(Table1[[#This Row],[Attrition]]="Yes",1,0)</f>
        <v>0</v>
      </c>
      <c r="AK1265" t="str">
        <f t="shared" si="38"/>
        <v>Experienced</v>
      </c>
      <c r="AL1265" t="str">
        <f t="shared" si="39"/>
        <v>Low Income</v>
      </c>
    </row>
    <row r="1266" spans="1:38"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IF(Table1[[#This Row],[Attrition]]="Yes",1,0)</f>
        <v>0</v>
      </c>
      <c r="AK1266" t="str">
        <f t="shared" si="38"/>
        <v>Senior</v>
      </c>
      <c r="AL1266" t="str">
        <f t="shared" si="39"/>
        <v>High Income</v>
      </c>
    </row>
    <row r="1267" spans="1:38"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IF(Table1[[#This Row],[Attrition]]="Yes",1,0)</f>
        <v>0</v>
      </c>
      <c r="AK1267" t="str">
        <f t="shared" si="38"/>
        <v>Mid Career</v>
      </c>
      <c r="AL1267" t="str">
        <f t="shared" si="39"/>
        <v>Medium Income</v>
      </c>
    </row>
    <row r="1268" spans="1:38"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IF(Table1[[#This Row],[Attrition]]="Yes",1,0)</f>
        <v>0</v>
      </c>
      <c r="AK1268" t="str">
        <f t="shared" si="38"/>
        <v>Experienced</v>
      </c>
      <c r="AL1268" t="str">
        <f t="shared" si="39"/>
        <v>Low Income</v>
      </c>
    </row>
    <row r="1269" spans="1:38"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IF(Table1[[#This Row],[Attrition]]="Yes",1,0)</f>
        <v>0</v>
      </c>
      <c r="AK1269" t="str">
        <f t="shared" si="38"/>
        <v>Mid Career</v>
      </c>
      <c r="AL1269" t="str">
        <f t="shared" si="39"/>
        <v>Medium Income</v>
      </c>
    </row>
    <row r="1270" spans="1:38"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IF(Table1[[#This Row],[Attrition]]="Yes",1,0)</f>
        <v>0</v>
      </c>
      <c r="AK1270" t="str">
        <f t="shared" si="38"/>
        <v>Senior</v>
      </c>
      <c r="AL1270" t="str">
        <f t="shared" si="39"/>
        <v>High Income</v>
      </c>
    </row>
    <row r="1271" spans="1:38"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IF(Table1[[#This Row],[Attrition]]="Yes",1,0)</f>
        <v>0</v>
      </c>
      <c r="AK1271" t="str">
        <f t="shared" si="38"/>
        <v>Experienced</v>
      </c>
      <c r="AL1271" t="str">
        <f t="shared" si="39"/>
        <v>Medium Income</v>
      </c>
    </row>
    <row r="1272" spans="1:38"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IF(Table1[[#This Row],[Attrition]]="Yes",1,0)</f>
        <v>0</v>
      </c>
      <c r="AK1272" t="str">
        <f t="shared" si="38"/>
        <v>Mid Career</v>
      </c>
      <c r="AL1272" t="str">
        <f t="shared" si="39"/>
        <v>Medium Income</v>
      </c>
    </row>
    <row r="1273" spans="1:38"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IF(Table1[[#This Row],[Attrition]]="Yes",1,0)</f>
        <v>1</v>
      </c>
      <c r="AK1273" t="str">
        <f t="shared" si="38"/>
        <v>Young</v>
      </c>
      <c r="AL1273" t="str">
        <f t="shared" si="39"/>
        <v>Low Income</v>
      </c>
    </row>
    <row r="1274" spans="1:38"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IF(Table1[[#This Row],[Attrition]]="Yes",1,0)</f>
        <v>0</v>
      </c>
      <c r="AK1274" t="str">
        <f t="shared" si="38"/>
        <v>Mid Career</v>
      </c>
      <c r="AL1274" t="str">
        <f t="shared" si="39"/>
        <v>Medium Income</v>
      </c>
    </row>
    <row r="1275" spans="1:38"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IF(Table1[[#This Row],[Attrition]]="Yes",1,0)</f>
        <v>1</v>
      </c>
      <c r="AK1275" t="str">
        <f t="shared" si="38"/>
        <v>Young</v>
      </c>
      <c r="AL1275" t="str">
        <f t="shared" si="39"/>
        <v>Low Income</v>
      </c>
    </row>
    <row r="1276" spans="1:38"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IF(Table1[[#This Row],[Attrition]]="Yes",1,0)</f>
        <v>0</v>
      </c>
      <c r="AK1276" t="str">
        <f t="shared" si="38"/>
        <v>Mid Career</v>
      </c>
      <c r="AL1276" t="str">
        <f t="shared" si="39"/>
        <v>Medium Income</v>
      </c>
    </row>
    <row r="1277" spans="1:38"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IF(Table1[[#This Row],[Attrition]]="Yes",1,0)</f>
        <v>0</v>
      </c>
      <c r="AK1277" t="str">
        <f t="shared" si="38"/>
        <v>Senior</v>
      </c>
      <c r="AL1277" t="str">
        <f t="shared" si="39"/>
        <v>High Income</v>
      </c>
    </row>
    <row r="1278" spans="1:38"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IF(Table1[[#This Row],[Attrition]]="Yes",1,0)</f>
        <v>0</v>
      </c>
      <c r="AK1278" t="str">
        <f t="shared" si="38"/>
        <v>Mid Career</v>
      </c>
      <c r="AL1278" t="str">
        <f t="shared" si="39"/>
        <v>Medium Income</v>
      </c>
    </row>
    <row r="1279" spans="1:38"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IF(Table1[[#This Row],[Attrition]]="Yes",1,0)</f>
        <v>0</v>
      </c>
      <c r="AK1279" t="str">
        <f t="shared" si="38"/>
        <v>Experienced</v>
      </c>
      <c r="AL1279" t="str">
        <f t="shared" si="39"/>
        <v>High Income</v>
      </c>
    </row>
    <row r="1280" spans="1:38"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IF(Table1[[#This Row],[Attrition]]="Yes",1,0)</f>
        <v>0</v>
      </c>
      <c r="AK1280" t="str">
        <f t="shared" si="38"/>
        <v>Mid Career</v>
      </c>
      <c r="AL1280" t="str">
        <f t="shared" si="39"/>
        <v>High Income</v>
      </c>
    </row>
    <row r="1281" spans="1:38"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IF(Table1[[#This Row],[Attrition]]="Yes",1,0)</f>
        <v>1</v>
      </c>
      <c r="AK1281" t="str">
        <f t="shared" si="38"/>
        <v>Experienced</v>
      </c>
      <c r="AL1281" t="str">
        <f t="shared" si="39"/>
        <v>Low Income</v>
      </c>
    </row>
    <row r="1282" spans="1:38"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IF(Table1[[#This Row],[Attrition]]="Yes",1,0)</f>
        <v>0</v>
      </c>
      <c r="AK1282" t="str">
        <f t="shared" ref="AK1282:AK1345" si="40">IF(A1282&lt;30,"Young",
IF(A1282&lt;40,"Mid Career",
IF(A1282&lt;50,"Experienced","Senior")))</f>
        <v>Mid Career</v>
      </c>
      <c r="AL1282" t="str">
        <f t="shared" ref="AL1282:AL1345" si="41">IF(S1282&lt;3000,"Low Income",IF(S1282&lt;7000,"Medium Income","High Income"))</f>
        <v>Medium Income</v>
      </c>
    </row>
    <row r="1283" spans="1:38"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IF(Table1[[#This Row],[Attrition]]="Yes",1,0)</f>
        <v>1</v>
      </c>
      <c r="AK1283" t="str">
        <f t="shared" si="40"/>
        <v>Mid Career</v>
      </c>
      <c r="AL1283" t="str">
        <f t="shared" si="41"/>
        <v>Medium Income</v>
      </c>
    </row>
    <row r="1284" spans="1:38"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IF(Table1[[#This Row],[Attrition]]="Yes",1,0)</f>
        <v>0</v>
      </c>
      <c r="AK1284" t="str">
        <f t="shared" si="40"/>
        <v>Mid Career</v>
      </c>
      <c r="AL1284" t="str">
        <f t="shared" si="41"/>
        <v>Medium Income</v>
      </c>
    </row>
    <row r="1285" spans="1:38"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IF(Table1[[#This Row],[Attrition]]="Yes",1,0)</f>
        <v>0</v>
      </c>
      <c r="AK1285" t="str">
        <f t="shared" si="40"/>
        <v>Young</v>
      </c>
      <c r="AL1285" t="str">
        <f t="shared" si="41"/>
        <v>Low Income</v>
      </c>
    </row>
    <row r="1286" spans="1:38"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IF(Table1[[#This Row],[Attrition]]="Yes",1,0)</f>
        <v>0</v>
      </c>
      <c r="AK1286" t="str">
        <f t="shared" si="40"/>
        <v>Mid Career</v>
      </c>
      <c r="AL1286" t="str">
        <f t="shared" si="41"/>
        <v>High Income</v>
      </c>
    </row>
    <row r="1287" spans="1:38"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IF(Table1[[#This Row],[Attrition]]="Yes",1,0)</f>
        <v>0</v>
      </c>
      <c r="AK1287" t="str">
        <f t="shared" si="40"/>
        <v>Experienced</v>
      </c>
      <c r="AL1287" t="str">
        <f t="shared" si="41"/>
        <v>High Income</v>
      </c>
    </row>
    <row r="1288" spans="1:38"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IF(Table1[[#This Row],[Attrition]]="Yes",1,0)</f>
        <v>0</v>
      </c>
      <c r="AK1288" t="str">
        <f t="shared" si="40"/>
        <v>Experienced</v>
      </c>
      <c r="AL1288" t="str">
        <f t="shared" si="41"/>
        <v>Medium Income</v>
      </c>
    </row>
    <row r="1289" spans="1:38"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IF(Table1[[#This Row],[Attrition]]="Yes",1,0)</f>
        <v>0</v>
      </c>
      <c r="AK1289" t="str">
        <f t="shared" si="40"/>
        <v>Experienced</v>
      </c>
      <c r="AL1289" t="str">
        <f t="shared" si="41"/>
        <v>Medium Income</v>
      </c>
    </row>
    <row r="1290" spans="1:38"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IF(Table1[[#This Row],[Attrition]]="Yes",1,0)</f>
        <v>0</v>
      </c>
      <c r="AK1290" t="str">
        <f t="shared" si="40"/>
        <v>Mid Career</v>
      </c>
      <c r="AL1290" t="str">
        <f t="shared" si="41"/>
        <v>Medium Income</v>
      </c>
    </row>
    <row r="1291" spans="1:38"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IF(Table1[[#This Row],[Attrition]]="Yes",1,0)</f>
        <v>0</v>
      </c>
      <c r="AK1291" t="str">
        <f t="shared" si="40"/>
        <v>Mid Career</v>
      </c>
      <c r="AL1291" t="str">
        <f t="shared" si="41"/>
        <v>Low Income</v>
      </c>
    </row>
    <row r="1292" spans="1:38"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IF(Table1[[#This Row],[Attrition]]="Yes",1,0)</f>
        <v>1</v>
      </c>
      <c r="AK1292" t="str">
        <f t="shared" si="40"/>
        <v>Mid Career</v>
      </c>
      <c r="AL1292" t="str">
        <f t="shared" si="41"/>
        <v>Medium Income</v>
      </c>
    </row>
    <row r="1293" spans="1:38"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IF(Table1[[#This Row],[Attrition]]="Yes",1,0)</f>
        <v>1</v>
      </c>
      <c r="AK1293" t="str">
        <f t="shared" si="40"/>
        <v>Mid Career</v>
      </c>
      <c r="AL1293" t="str">
        <f t="shared" si="41"/>
        <v>Medium Income</v>
      </c>
    </row>
    <row r="1294" spans="1:38"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IF(Table1[[#This Row],[Attrition]]="Yes",1,0)</f>
        <v>0</v>
      </c>
      <c r="AK1294" t="str">
        <f t="shared" si="40"/>
        <v>Mid Career</v>
      </c>
      <c r="AL1294" t="str">
        <f t="shared" si="41"/>
        <v>Medium Income</v>
      </c>
    </row>
    <row r="1295" spans="1:38"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IF(Table1[[#This Row],[Attrition]]="Yes",1,0)</f>
        <v>0</v>
      </c>
      <c r="AK1295" t="str">
        <f t="shared" si="40"/>
        <v>Experienced</v>
      </c>
      <c r="AL1295" t="str">
        <f t="shared" si="41"/>
        <v>Low Income</v>
      </c>
    </row>
    <row r="1296" spans="1:38"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IF(Table1[[#This Row],[Attrition]]="Yes",1,0)</f>
        <v>0</v>
      </c>
      <c r="AK1296" t="str">
        <f t="shared" si="40"/>
        <v>Experienced</v>
      </c>
      <c r="AL1296" t="str">
        <f t="shared" si="41"/>
        <v>Medium Income</v>
      </c>
    </row>
    <row r="1297" spans="1:38"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IF(Table1[[#This Row],[Attrition]]="Yes",1,0)</f>
        <v>0</v>
      </c>
      <c r="AK1297" t="str">
        <f t="shared" si="40"/>
        <v>Experienced</v>
      </c>
      <c r="AL1297" t="str">
        <f t="shared" si="41"/>
        <v>High Income</v>
      </c>
    </row>
    <row r="1298" spans="1:38"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IF(Table1[[#This Row],[Attrition]]="Yes",1,0)</f>
        <v>0</v>
      </c>
      <c r="AK1298" t="str">
        <f t="shared" si="40"/>
        <v>Mid Career</v>
      </c>
      <c r="AL1298" t="str">
        <f t="shared" si="41"/>
        <v>High Income</v>
      </c>
    </row>
    <row r="1299" spans="1:38"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IF(Table1[[#This Row],[Attrition]]="Yes",1,0)</f>
        <v>1</v>
      </c>
      <c r="AK1299" t="str">
        <f t="shared" si="40"/>
        <v>Young</v>
      </c>
      <c r="AL1299" t="str">
        <f t="shared" si="41"/>
        <v>Low Income</v>
      </c>
    </row>
    <row r="1300" spans="1:38"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IF(Table1[[#This Row],[Attrition]]="Yes",1,0)</f>
        <v>1</v>
      </c>
      <c r="AK1300" t="str">
        <f t="shared" si="40"/>
        <v>Experienced</v>
      </c>
      <c r="AL1300" t="str">
        <f t="shared" si="41"/>
        <v>High Income</v>
      </c>
    </row>
    <row r="1301" spans="1:38"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IF(Table1[[#This Row],[Attrition]]="Yes",1,0)</f>
        <v>0</v>
      </c>
      <c r="AK1301" t="str">
        <f t="shared" si="40"/>
        <v>Experienced</v>
      </c>
      <c r="AL1301" t="str">
        <f t="shared" si="41"/>
        <v>Medium Income</v>
      </c>
    </row>
    <row r="1302" spans="1:38"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IF(Table1[[#This Row],[Attrition]]="Yes",1,0)</f>
        <v>0</v>
      </c>
      <c r="AK1302" t="str">
        <f t="shared" si="40"/>
        <v>Mid Career</v>
      </c>
      <c r="AL1302" t="str">
        <f t="shared" si="41"/>
        <v>Medium Income</v>
      </c>
    </row>
    <row r="1303" spans="1:38"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IF(Table1[[#This Row],[Attrition]]="Yes",1,0)</f>
        <v>0</v>
      </c>
      <c r="AK1303" t="str">
        <f t="shared" si="40"/>
        <v>Senior</v>
      </c>
      <c r="AL1303" t="str">
        <f t="shared" si="41"/>
        <v>High Income</v>
      </c>
    </row>
    <row r="1304" spans="1:38"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IF(Table1[[#This Row],[Attrition]]="Yes",1,0)</f>
        <v>0</v>
      </c>
      <c r="AK1304" t="str">
        <f t="shared" si="40"/>
        <v>Mid Career</v>
      </c>
      <c r="AL1304" t="str">
        <f t="shared" si="41"/>
        <v>Low Income</v>
      </c>
    </row>
    <row r="1305" spans="1:38"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IF(Table1[[#This Row],[Attrition]]="Yes",1,0)</f>
        <v>0</v>
      </c>
      <c r="AK1305" t="str">
        <f t="shared" si="40"/>
        <v>Experienced</v>
      </c>
      <c r="AL1305" t="str">
        <f t="shared" si="41"/>
        <v>High Income</v>
      </c>
    </row>
    <row r="1306" spans="1:38"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IF(Table1[[#This Row],[Attrition]]="Yes",1,0)</f>
        <v>0</v>
      </c>
      <c r="AK1306" t="str">
        <f t="shared" si="40"/>
        <v>Experienced</v>
      </c>
      <c r="AL1306" t="str">
        <f t="shared" si="41"/>
        <v>Medium Income</v>
      </c>
    </row>
    <row r="1307" spans="1:38"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IF(Table1[[#This Row],[Attrition]]="Yes",1,0)</f>
        <v>0</v>
      </c>
      <c r="AK1307" t="str">
        <f t="shared" si="40"/>
        <v>Senior</v>
      </c>
      <c r="AL1307" t="str">
        <f t="shared" si="41"/>
        <v>Medium Income</v>
      </c>
    </row>
    <row r="1308" spans="1:38"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IF(Table1[[#This Row],[Attrition]]="Yes",1,0)</f>
        <v>0</v>
      </c>
      <c r="AK1308" t="str">
        <f t="shared" si="40"/>
        <v>Mid Career</v>
      </c>
      <c r="AL1308" t="str">
        <f t="shared" si="41"/>
        <v>High Income</v>
      </c>
    </row>
    <row r="1309" spans="1:38"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IF(Table1[[#This Row],[Attrition]]="Yes",1,0)</f>
        <v>0</v>
      </c>
      <c r="AK1309" t="str">
        <f t="shared" si="40"/>
        <v>Young</v>
      </c>
      <c r="AL1309" t="str">
        <f t="shared" si="41"/>
        <v>Medium Income</v>
      </c>
    </row>
    <row r="1310" spans="1:38"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IF(Table1[[#This Row],[Attrition]]="Yes",1,0)</f>
        <v>0</v>
      </c>
      <c r="AK1310" t="str">
        <f t="shared" si="40"/>
        <v>Mid Career</v>
      </c>
      <c r="AL1310" t="str">
        <f t="shared" si="41"/>
        <v>Medium Income</v>
      </c>
    </row>
    <row r="1311" spans="1:38"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IF(Table1[[#This Row],[Attrition]]="Yes",1,0)</f>
        <v>0</v>
      </c>
      <c r="AK1311" t="str">
        <f t="shared" si="40"/>
        <v>Young</v>
      </c>
      <c r="AL1311" t="str">
        <f t="shared" si="41"/>
        <v>Medium Income</v>
      </c>
    </row>
    <row r="1312" spans="1:38"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IF(Table1[[#This Row],[Attrition]]="Yes",1,0)</f>
        <v>0</v>
      </c>
      <c r="AK1312" t="str">
        <f t="shared" si="40"/>
        <v>Senior</v>
      </c>
      <c r="AL1312" t="str">
        <f t="shared" si="41"/>
        <v>High Income</v>
      </c>
    </row>
    <row r="1313" spans="1:38"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IF(Table1[[#This Row],[Attrition]]="Yes",1,0)</f>
        <v>0</v>
      </c>
      <c r="AK1313" t="str">
        <f t="shared" si="40"/>
        <v>Young</v>
      </c>
      <c r="AL1313" t="str">
        <f t="shared" si="41"/>
        <v>Low Income</v>
      </c>
    </row>
    <row r="1314" spans="1:38"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IF(Table1[[#This Row],[Attrition]]="Yes",1,0)</f>
        <v>1</v>
      </c>
      <c r="AK1314" t="str">
        <f t="shared" si="40"/>
        <v>Mid Career</v>
      </c>
      <c r="AL1314" t="str">
        <f t="shared" si="41"/>
        <v>Low Income</v>
      </c>
    </row>
    <row r="1315" spans="1:38"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IF(Table1[[#This Row],[Attrition]]="Yes",1,0)</f>
        <v>1</v>
      </c>
      <c r="AK1315" t="str">
        <f t="shared" si="40"/>
        <v>Young</v>
      </c>
      <c r="AL1315" t="str">
        <f t="shared" si="41"/>
        <v>Low Income</v>
      </c>
    </row>
    <row r="1316" spans="1:38"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IF(Table1[[#This Row],[Attrition]]="Yes",1,0)</f>
        <v>0</v>
      </c>
      <c r="AK1316" t="str">
        <f t="shared" si="40"/>
        <v>Experienced</v>
      </c>
      <c r="AL1316" t="str">
        <f t="shared" si="41"/>
        <v>Medium Income</v>
      </c>
    </row>
    <row r="1317" spans="1:38"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IF(Table1[[#This Row],[Attrition]]="Yes",1,0)</f>
        <v>0</v>
      </c>
      <c r="AK1317" t="str">
        <f t="shared" si="40"/>
        <v>Mid Career</v>
      </c>
      <c r="AL1317" t="str">
        <f t="shared" si="41"/>
        <v>Medium Income</v>
      </c>
    </row>
    <row r="1318" spans="1:38"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IF(Table1[[#This Row],[Attrition]]="Yes",1,0)</f>
        <v>0</v>
      </c>
      <c r="AK1318" t="str">
        <f t="shared" si="40"/>
        <v>Experienced</v>
      </c>
      <c r="AL1318" t="str">
        <f t="shared" si="41"/>
        <v>Medium Income</v>
      </c>
    </row>
    <row r="1319" spans="1:38"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IF(Table1[[#This Row],[Attrition]]="Yes",1,0)</f>
        <v>0</v>
      </c>
      <c r="AK1319" t="str">
        <f t="shared" si="40"/>
        <v>Young</v>
      </c>
      <c r="AL1319" t="str">
        <f t="shared" si="41"/>
        <v>Low Income</v>
      </c>
    </row>
    <row r="1320" spans="1:38"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IF(Table1[[#This Row],[Attrition]]="Yes",1,0)</f>
        <v>0</v>
      </c>
      <c r="AK1320" t="str">
        <f t="shared" si="40"/>
        <v>Young</v>
      </c>
      <c r="AL1320" t="str">
        <f t="shared" si="41"/>
        <v>Medium Income</v>
      </c>
    </row>
    <row r="1321" spans="1:38"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IF(Table1[[#This Row],[Attrition]]="Yes",1,0)</f>
        <v>0</v>
      </c>
      <c r="AK1321" t="str">
        <f t="shared" si="40"/>
        <v>Mid Career</v>
      </c>
      <c r="AL1321" t="str">
        <f t="shared" si="41"/>
        <v>Medium Income</v>
      </c>
    </row>
    <row r="1322" spans="1:38"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IF(Table1[[#This Row],[Attrition]]="Yes",1,0)</f>
        <v>0</v>
      </c>
      <c r="AK1322" t="str">
        <f t="shared" si="40"/>
        <v>Experienced</v>
      </c>
      <c r="AL1322" t="str">
        <f t="shared" si="41"/>
        <v>Low Income</v>
      </c>
    </row>
    <row r="1323" spans="1:38"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IF(Table1[[#This Row],[Attrition]]="Yes",1,0)</f>
        <v>0</v>
      </c>
      <c r="AK1323" t="str">
        <f t="shared" si="40"/>
        <v>Experienced</v>
      </c>
      <c r="AL1323" t="str">
        <f t="shared" si="41"/>
        <v>Low Income</v>
      </c>
    </row>
    <row r="1324" spans="1:38"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IF(Table1[[#This Row],[Attrition]]="Yes",1,0)</f>
        <v>0</v>
      </c>
      <c r="AK1324" t="str">
        <f t="shared" si="40"/>
        <v>Experienced</v>
      </c>
      <c r="AL1324" t="str">
        <f t="shared" si="41"/>
        <v>High Income</v>
      </c>
    </row>
    <row r="1325" spans="1:38"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IF(Table1[[#This Row],[Attrition]]="Yes",1,0)</f>
        <v>0</v>
      </c>
      <c r="AK1325" t="str">
        <f t="shared" si="40"/>
        <v>Young</v>
      </c>
      <c r="AL1325" t="str">
        <f t="shared" si="41"/>
        <v>Low Income</v>
      </c>
    </row>
    <row r="1326" spans="1:38"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IF(Table1[[#This Row],[Attrition]]="Yes",1,0)</f>
        <v>0</v>
      </c>
      <c r="AK1326" t="str">
        <f t="shared" si="40"/>
        <v>Young</v>
      </c>
      <c r="AL1326" t="str">
        <f t="shared" si="41"/>
        <v>Medium Income</v>
      </c>
    </row>
    <row r="1327" spans="1:38"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IF(Table1[[#This Row],[Attrition]]="Yes",1,0)</f>
        <v>0</v>
      </c>
      <c r="AK1327" t="str">
        <f t="shared" si="40"/>
        <v>Experienced</v>
      </c>
      <c r="AL1327" t="str">
        <f t="shared" si="41"/>
        <v>Medium Income</v>
      </c>
    </row>
    <row r="1328" spans="1:38"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IF(Table1[[#This Row],[Attrition]]="Yes",1,0)</f>
        <v>1</v>
      </c>
      <c r="AK1328" t="str">
        <f t="shared" si="40"/>
        <v>Mid Career</v>
      </c>
      <c r="AL1328" t="str">
        <f t="shared" si="41"/>
        <v>High Income</v>
      </c>
    </row>
    <row r="1329" spans="1:38"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IF(Table1[[#This Row],[Attrition]]="Yes",1,0)</f>
        <v>0</v>
      </c>
      <c r="AK1329" t="str">
        <f t="shared" si="40"/>
        <v>Experienced</v>
      </c>
      <c r="AL1329" t="str">
        <f t="shared" si="41"/>
        <v>High Income</v>
      </c>
    </row>
    <row r="1330" spans="1:38"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IF(Table1[[#This Row],[Attrition]]="Yes",1,0)</f>
        <v>0</v>
      </c>
      <c r="AK1330" t="str">
        <f t="shared" si="40"/>
        <v>Young</v>
      </c>
      <c r="AL1330" t="str">
        <f t="shared" si="41"/>
        <v>Medium Income</v>
      </c>
    </row>
    <row r="1331" spans="1:38"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IF(Table1[[#This Row],[Attrition]]="Yes",1,0)</f>
        <v>0</v>
      </c>
      <c r="AK1331" t="str">
        <f t="shared" si="40"/>
        <v>Young</v>
      </c>
      <c r="AL1331" t="str">
        <f t="shared" si="41"/>
        <v>Low Income</v>
      </c>
    </row>
    <row r="1332" spans="1:38"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IF(Table1[[#This Row],[Attrition]]="Yes",1,0)</f>
        <v>0</v>
      </c>
      <c r="AK1332" t="str">
        <f t="shared" si="40"/>
        <v>Experienced</v>
      </c>
      <c r="AL1332" t="str">
        <f t="shared" si="41"/>
        <v>High Income</v>
      </c>
    </row>
    <row r="1333" spans="1:38"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IF(Table1[[#This Row],[Attrition]]="Yes",1,0)</f>
        <v>0</v>
      </c>
      <c r="AK1333" t="str">
        <f t="shared" si="40"/>
        <v>Experienced</v>
      </c>
      <c r="AL1333" t="str">
        <f t="shared" si="41"/>
        <v>High Income</v>
      </c>
    </row>
    <row r="1334" spans="1:38"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IF(Table1[[#This Row],[Attrition]]="Yes",1,0)</f>
        <v>1</v>
      </c>
      <c r="AK1334" t="str">
        <f t="shared" si="40"/>
        <v>Young</v>
      </c>
      <c r="AL1334" t="str">
        <f t="shared" si="41"/>
        <v>Low Income</v>
      </c>
    </row>
    <row r="1335" spans="1:38"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IF(Table1[[#This Row],[Attrition]]="Yes",1,0)</f>
        <v>1</v>
      </c>
      <c r="AK1335" t="str">
        <f t="shared" si="40"/>
        <v>Experienced</v>
      </c>
      <c r="AL1335" t="str">
        <f t="shared" si="41"/>
        <v>High Income</v>
      </c>
    </row>
    <row r="1336" spans="1:38"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IF(Table1[[#This Row],[Attrition]]="Yes",1,0)</f>
        <v>0</v>
      </c>
      <c r="AK1336" t="str">
        <f t="shared" si="40"/>
        <v>Young</v>
      </c>
      <c r="AL1336" t="str">
        <f t="shared" si="41"/>
        <v>Medium Income</v>
      </c>
    </row>
    <row r="1337" spans="1:38"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IF(Table1[[#This Row],[Attrition]]="Yes",1,0)</f>
        <v>0</v>
      </c>
      <c r="AK1337" t="str">
        <f t="shared" si="40"/>
        <v>Mid Career</v>
      </c>
      <c r="AL1337" t="str">
        <f t="shared" si="41"/>
        <v>Medium Income</v>
      </c>
    </row>
    <row r="1338" spans="1:38"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IF(Table1[[#This Row],[Attrition]]="Yes",1,0)</f>
        <v>0</v>
      </c>
      <c r="AK1338" t="str">
        <f t="shared" si="40"/>
        <v>Senior</v>
      </c>
      <c r="AL1338" t="str">
        <f t="shared" si="41"/>
        <v>Low Income</v>
      </c>
    </row>
    <row r="1339" spans="1:38"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IF(Table1[[#This Row],[Attrition]]="Yes",1,0)</f>
        <v>0</v>
      </c>
      <c r="AK1339" t="str">
        <f t="shared" si="40"/>
        <v>Young</v>
      </c>
      <c r="AL1339" t="str">
        <f t="shared" si="41"/>
        <v>Low Income</v>
      </c>
    </row>
    <row r="1340" spans="1:38"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IF(Table1[[#This Row],[Attrition]]="Yes",1,0)</f>
        <v>1</v>
      </c>
      <c r="AK1340" t="str">
        <f t="shared" si="40"/>
        <v>Mid Career</v>
      </c>
      <c r="AL1340" t="str">
        <f t="shared" si="41"/>
        <v>Low Income</v>
      </c>
    </row>
    <row r="1341" spans="1:38"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IF(Table1[[#This Row],[Attrition]]="Yes",1,0)</f>
        <v>1</v>
      </c>
      <c r="AK1341" t="str">
        <f t="shared" si="40"/>
        <v>Young</v>
      </c>
      <c r="AL1341" t="str">
        <f t="shared" si="41"/>
        <v>Low Income</v>
      </c>
    </row>
    <row r="1342" spans="1:38"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IF(Table1[[#This Row],[Attrition]]="Yes",1,0)</f>
        <v>0</v>
      </c>
      <c r="AK1342" t="str">
        <f t="shared" si="40"/>
        <v>Mid Career</v>
      </c>
      <c r="AL1342" t="str">
        <f t="shared" si="41"/>
        <v>Medium Income</v>
      </c>
    </row>
    <row r="1343" spans="1:38"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IF(Table1[[#This Row],[Attrition]]="Yes",1,0)</f>
        <v>0</v>
      </c>
      <c r="AK1343" t="str">
        <f t="shared" si="40"/>
        <v>Mid Career</v>
      </c>
      <c r="AL1343" t="str">
        <f t="shared" si="41"/>
        <v>Medium Income</v>
      </c>
    </row>
    <row r="1344" spans="1:38"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IF(Table1[[#This Row],[Attrition]]="Yes",1,0)</f>
        <v>0</v>
      </c>
      <c r="AK1344" t="str">
        <f t="shared" si="40"/>
        <v>Mid Career</v>
      </c>
      <c r="AL1344" t="str">
        <f t="shared" si="41"/>
        <v>High Income</v>
      </c>
    </row>
    <row r="1345" spans="1:38"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IF(Table1[[#This Row],[Attrition]]="Yes",1,0)</f>
        <v>0</v>
      </c>
      <c r="AK1345" t="str">
        <f t="shared" si="40"/>
        <v>Young</v>
      </c>
      <c r="AL1345" t="str">
        <f t="shared" si="41"/>
        <v>Low Income</v>
      </c>
    </row>
    <row r="1346" spans="1:38"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IF(Table1[[#This Row],[Attrition]]="Yes",1,0)</f>
        <v>0</v>
      </c>
      <c r="AK1346" t="str">
        <f t="shared" ref="AK1346:AK1409" si="42">IF(A1346&lt;30,"Young",
IF(A1346&lt;40,"Mid Career",
IF(A1346&lt;50,"Experienced","Senior")))</f>
        <v>Mid Career</v>
      </c>
      <c r="AL1346" t="str">
        <f t="shared" ref="AL1346:AL1409" si="43">IF(S1346&lt;3000,"Low Income",IF(S1346&lt;7000,"Medium Income","High Income"))</f>
        <v>Medium Income</v>
      </c>
    </row>
    <row r="1347" spans="1:38"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IF(Table1[[#This Row],[Attrition]]="Yes",1,0)</f>
        <v>0</v>
      </c>
      <c r="AK1347" t="str">
        <f t="shared" si="42"/>
        <v>Mid Career</v>
      </c>
      <c r="AL1347" t="str">
        <f t="shared" si="43"/>
        <v>Medium Income</v>
      </c>
    </row>
    <row r="1348" spans="1:38"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IF(Table1[[#This Row],[Attrition]]="Yes",1,0)</f>
        <v>0</v>
      </c>
      <c r="AK1348" t="str">
        <f t="shared" si="42"/>
        <v>Experienced</v>
      </c>
      <c r="AL1348" t="str">
        <f t="shared" si="43"/>
        <v>Medium Income</v>
      </c>
    </row>
    <row r="1349" spans="1:38"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IF(Table1[[#This Row],[Attrition]]="Yes",1,0)</f>
        <v>0</v>
      </c>
      <c r="AK1349" t="str">
        <f t="shared" si="42"/>
        <v>Mid Career</v>
      </c>
      <c r="AL1349" t="str">
        <f t="shared" si="43"/>
        <v>Medium Income</v>
      </c>
    </row>
    <row r="1350" spans="1:38"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IF(Table1[[#This Row],[Attrition]]="Yes",1,0)</f>
        <v>0</v>
      </c>
      <c r="AK1350" t="str">
        <f t="shared" si="42"/>
        <v>Experienced</v>
      </c>
      <c r="AL1350" t="str">
        <f t="shared" si="43"/>
        <v>High Income</v>
      </c>
    </row>
    <row r="1351" spans="1:38"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IF(Table1[[#This Row],[Attrition]]="Yes",1,0)</f>
        <v>0</v>
      </c>
      <c r="AK1351" t="str">
        <f t="shared" si="42"/>
        <v>Young</v>
      </c>
      <c r="AL1351" t="str">
        <f t="shared" si="43"/>
        <v>Low Income</v>
      </c>
    </row>
    <row r="1352" spans="1:38"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IF(Table1[[#This Row],[Attrition]]="Yes",1,0)</f>
        <v>0</v>
      </c>
      <c r="AK1352" t="str">
        <f t="shared" si="42"/>
        <v>Young</v>
      </c>
      <c r="AL1352" t="str">
        <f t="shared" si="43"/>
        <v>Medium Income</v>
      </c>
    </row>
    <row r="1353" spans="1:38"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IF(Table1[[#This Row],[Attrition]]="Yes",1,0)</f>
        <v>0</v>
      </c>
      <c r="AK1353" t="str">
        <f t="shared" si="42"/>
        <v>Experienced</v>
      </c>
      <c r="AL1353" t="str">
        <f t="shared" si="43"/>
        <v>High Income</v>
      </c>
    </row>
    <row r="1354" spans="1:38"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IF(Table1[[#This Row],[Attrition]]="Yes",1,0)</f>
        <v>0</v>
      </c>
      <c r="AK1354" t="str">
        <f t="shared" si="42"/>
        <v>Experienced</v>
      </c>
      <c r="AL1354" t="str">
        <f t="shared" si="43"/>
        <v>Medium Income</v>
      </c>
    </row>
    <row r="1355" spans="1:38"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IF(Table1[[#This Row],[Attrition]]="Yes",1,0)</f>
        <v>1</v>
      </c>
      <c r="AK1355" t="str">
        <f t="shared" si="42"/>
        <v>Mid Career</v>
      </c>
      <c r="AL1355" t="str">
        <f t="shared" si="43"/>
        <v>Low Income</v>
      </c>
    </row>
    <row r="1356" spans="1:38"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IF(Table1[[#This Row],[Attrition]]="Yes",1,0)</f>
        <v>1</v>
      </c>
      <c r="AK1356" t="str">
        <f t="shared" si="42"/>
        <v>Senior</v>
      </c>
      <c r="AL1356" t="str">
        <f t="shared" si="43"/>
        <v>Low Income</v>
      </c>
    </row>
    <row r="1357" spans="1:38"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IF(Table1[[#This Row],[Attrition]]="Yes",1,0)</f>
        <v>0</v>
      </c>
      <c r="AK1357" t="str">
        <f t="shared" si="42"/>
        <v>Mid Career</v>
      </c>
      <c r="AL1357" t="str">
        <f t="shared" si="43"/>
        <v>Medium Income</v>
      </c>
    </row>
    <row r="1358" spans="1:38"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IF(Table1[[#This Row],[Attrition]]="Yes",1,0)</f>
        <v>0</v>
      </c>
      <c r="AK1358" t="str">
        <f t="shared" si="42"/>
        <v>Experienced</v>
      </c>
      <c r="AL1358" t="str">
        <f t="shared" si="43"/>
        <v>Medium Income</v>
      </c>
    </row>
    <row r="1359" spans="1:38"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IF(Table1[[#This Row],[Attrition]]="Yes",1,0)</f>
        <v>0</v>
      </c>
      <c r="AK1359" t="str">
        <f t="shared" si="42"/>
        <v>Experienced</v>
      </c>
      <c r="AL1359" t="str">
        <f t="shared" si="43"/>
        <v>High Income</v>
      </c>
    </row>
    <row r="1360" spans="1:38"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IF(Table1[[#This Row],[Attrition]]="Yes",1,0)</f>
        <v>0</v>
      </c>
      <c r="AK1360" t="str">
        <f t="shared" si="42"/>
        <v>Mid Career</v>
      </c>
      <c r="AL1360" t="str">
        <f t="shared" si="43"/>
        <v>Medium Income</v>
      </c>
    </row>
    <row r="1361" spans="1:38"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IF(Table1[[#This Row],[Attrition]]="Yes",1,0)</f>
        <v>0</v>
      </c>
      <c r="AK1361" t="str">
        <f t="shared" si="42"/>
        <v>Mid Career</v>
      </c>
      <c r="AL1361" t="str">
        <f t="shared" si="43"/>
        <v>High Income</v>
      </c>
    </row>
    <row r="1362" spans="1:38"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IF(Table1[[#This Row],[Attrition]]="Yes",1,0)</f>
        <v>0</v>
      </c>
      <c r="AK1362" t="str">
        <f t="shared" si="42"/>
        <v>Mid Career</v>
      </c>
      <c r="AL1362" t="str">
        <f t="shared" si="43"/>
        <v>Medium Income</v>
      </c>
    </row>
    <row r="1363" spans="1:38"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IF(Table1[[#This Row],[Attrition]]="Yes",1,0)</f>
        <v>0</v>
      </c>
      <c r="AK1363" t="str">
        <f t="shared" si="42"/>
        <v>Young</v>
      </c>
      <c r="AL1363" t="str">
        <f t="shared" si="43"/>
        <v>Low Income</v>
      </c>
    </row>
    <row r="1364" spans="1:38"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IF(Table1[[#This Row],[Attrition]]="Yes",1,0)</f>
        <v>0</v>
      </c>
      <c r="AK1364" t="str">
        <f t="shared" si="42"/>
        <v>Experienced</v>
      </c>
      <c r="AL1364" t="str">
        <f t="shared" si="43"/>
        <v>Medium Income</v>
      </c>
    </row>
    <row r="1365" spans="1:38"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IF(Table1[[#This Row],[Attrition]]="Yes",1,0)</f>
        <v>0</v>
      </c>
      <c r="AK1365" t="str">
        <f t="shared" si="42"/>
        <v>Mid Career</v>
      </c>
      <c r="AL1365" t="str">
        <f t="shared" si="43"/>
        <v>Medium Income</v>
      </c>
    </row>
    <row r="1366" spans="1:38"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IF(Table1[[#This Row],[Attrition]]="Yes",1,0)</f>
        <v>0</v>
      </c>
      <c r="AK1366" t="str">
        <f t="shared" si="42"/>
        <v>Young</v>
      </c>
      <c r="AL1366" t="str">
        <f t="shared" si="43"/>
        <v>Medium Income</v>
      </c>
    </row>
    <row r="1367" spans="1:38"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IF(Table1[[#This Row],[Attrition]]="Yes",1,0)</f>
        <v>1</v>
      </c>
      <c r="AK1367" t="str">
        <f t="shared" si="42"/>
        <v>Young</v>
      </c>
      <c r="AL1367" t="str">
        <f t="shared" si="43"/>
        <v>Low Income</v>
      </c>
    </row>
    <row r="1368" spans="1:38"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IF(Table1[[#This Row],[Attrition]]="Yes",1,0)</f>
        <v>0</v>
      </c>
      <c r="AK1368" t="str">
        <f t="shared" si="42"/>
        <v>Mid Career</v>
      </c>
      <c r="AL1368" t="str">
        <f t="shared" si="43"/>
        <v>Medium Income</v>
      </c>
    </row>
    <row r="1369" spans="1:38"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IF(Table1[[#This Row],[Attrition]]="Yes",1,0)</f>
        <v>0</v>
      </c>
      <c r="AK1369" t="str">
        <f t="shared" si="42"/>
        <v>Young</v>
      </c>
      <c r="AL1369" t="str">
        <f t="shared" si="43"/>
        <v>Low Income</v>
      </c>
    </row>
    <row r="1370" spans="1:38"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IF(Table1[[#This Row],[Attrition]]="Yes",1,0)</f>
        <v>0</v>
      </c>
      <c r="AK1370" t="str">
        <f t="shared" si="42"/>
        <v>Mid Career</v>
      </c>
      <c r="AL1370" t="str">
        <f t="shared" si="43"/>
        <v>Medium Income</v>
      </c>
    </row>
    <row r="1371" spans="1:38"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IF(Table1[[#This Row],[Attrition]]="Yes",1,0)</f>
        <v>1</v>
      </c>
      <c r="AK1371" t="str">
        <f t="shared" si="42"/>
        <v>Young</v>
      </c>
      <c r="AL1371" t="str">
        <f t="shared" si="43"/>
        <v>High Income</v>
      </c>
    </row>
    <row r="1372" spans="1:38"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IF(Table1[[#This Row],[Attrition]]="Yes",1,0)</f>
        <v>0</v>
      </c>
      <c r="AK1372" t="str">
        <f t="shared" si="42"/>
        <v>Experienced</v>
      </c>
      <c r="AL1372" t="str">
        <f t="shared" si="43"/>
        <v>Medium Income</v>
      </c>
    </row>
    <row r="1373" spans="1:38"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IF(Table1[[#This Row],[Attrition]]="Yes",1,0)</f>
        <v>0</v>
      </c>
      <c r="AK1373" t="str">
        <f t="shared" si="42"/>
        <v>Senior</v>
      </c>
      <c r="AL1373" t="str">
        <f t="shared" si="43"/>
        <v>Medium Income</v>
      </c>
    </row>
    <row r="1374" spans="1:38"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IF(Table1[[#This Row],[Attrition]]="Yes",1,0)</f>
        <v>0</v>
      </c>
      <c r="AK1374" t="str">
        <f t="shared" si="42"/>
        <v>Mid Career</v>
      </c>
      <c r="AL1374" t="str">
        <f t="shared" si="43"/>
        <v>Medium Income</v>
      </c>
    </row>
    <row r="1375" spans="1:38"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IF(Table1[[#This Row],[Attrition]]="Yes",1,0)</f>
        <v>0</v>
      </c>
      <c r="AK1375" t="str">
        <f t="shared" si="42"/>
        <v>Mid Career</v>
      </c>
      <c r="AL1375" t="str">
        <f t="shared" si="43"/>
        <v>Low Income</v>
      </c>
    </row>
    <row r="1376" spans="1:38"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IF(Table1[[#This Row],[Attrition]]="Yes",1,0)</f>
        <v>0</v>
      </c>
      <c r="AK1376" t="str">
        <f t="shared" si="42"/>
        <v>Senior</v>
      </c>
      <c r="AL1376" t="str">
        <f t="shared" si="43"/>
        <v>High Income</v>
      </c>
    </row>
    <row r="1377" spans="1:38"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IF(Table1[[#This Row],[Attrition]]="Yes",1,0)</f>
        <v>1</v>
      </c>
      <c r="AK1377" t="str">
        <f t="shared" si="42"/>
        <v>Mid Career</v>
      </c>
      <c r="AL1377" t="str">
        <f t="shared" si="43"/>
        <v>Low Income</v>
      </c>
    </row>
    <row r="1378" spans="1:38"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IF(Table1[[#This Row],[Attrition]]="Yes",1,0)</f>
        <v>0</v>
      </c>
      <c r="AK1378" t="str">
        <f t="shared" si="42"/>
        <v>Mid Career</v>
      </c>
      <c r="AL1378" t="str">
        <f t="shared" si="43"/>
        <v>Medium Income</v>
      </c>
    </row>
    <row r="1379" spans="1:38"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IF(Table1[[#This Row],[Attrition]]="Yes",1,0)</f>
        <v>0</v>
      </c>
      <c r="AK1379" t="str">
        <f t="shared" si="42"/>
        <v>Experienced</v>
      </c>
      <c r="AL1379" t="str">
        <f t="shared" si="43"/>
        <v>High Income</v>
      </c>
    </row>
    <row r="1380" spans="1:38"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IF(Table1[[#This Row],[Attrition]]="Yes",1,0)</f>
        <v>0</v>
      </c>
      <c r="AK1380" t="str">
        <f t="shared" si="42"/>
        <v>Experienced</v>
      </c>
      <c r="AL1380" t="str">
        <f t="shared" si="43"/>
        <v>Medium Income</v>
      </c>
    </row>
    <row r="1381" spans="1:38"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IF(Table1[[#This Row],[Attrition]]="Yes",1,0)</f>
        <v>1</v>
      </c>
      <c r="AK1381" t="str">
        <f t="shared" si="42"/>
        <v>Young</v>
      </c>
      <c r="AL1381" t="str">
        <f t="shared" si="43"/>
        <v>Low Income</v>
      </c>
    </row>
    <row r="1382" spans="1:38"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IF(Table1[[#This Row],[Attrition]]="Yes",1,0)</f>
        <v>0</v>
      </c>
      <c r="AK1382" t="str">
        <f t="shared" si="42"/>
        <v>Mid Career</v>
      </c>
      <c r="AL1382" t="str">
        <f t="shared" si="43"/>
        <v>Medium Income</v>
      </c>
    </row>
    <row r="1383" spans="1:38"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IF(Table1[[#This Row],[Attrition]]="Yes",1,0)</f>
        <v>0</v>
      </c>
      <c r="AK1383" t="str">
        <f t="shared" si="42"/>
        <v>Young</v>
      </c>
      <c r="AL1383" t="str">
        <f t="shared" si="43"/>
        <v>Low Income</v>
      </c>
    </row>
    <row r="1384" spans="1:38"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IF(Table1[[#This Row],[Attrition]]="Yes",1,0)</f>
        <v>0</v>
      </c>
      <c r="AK1384" t="str">
        <f t="shared" si="42"/>
        <v>Mid Career</v>
      </c>
      <c r="AL1384" t="str">
        <f t="shared" si="43"/>
        <v>Medium Income</v>
      </c>
    </row>
    <row r="1385" spans="1:38"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IF(Table1[[#This Row],[Attrition]]="Yes",1,0)</f>
        <v>0</v>
      </c>
      <c r="AK1385" t="str">
        <f t="shared" si="42"/>
        <v>Mid Career</v>
      </c>
      <c r="AL1385" t="str">
        <f t="shared" si="43"/>
        <v>Low Income</v>
      </c>
    </row>
    <row r="1386" spans="1:38"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IF(Table1[[#This Row],[Attrition]]="Yes",1,0)</f>
        <v>0</v>
      </c>
      <c r="AK1386" t="str">
        <f t="shared" si="42"/>
        <v>Mid Career</v>
      </c>
      <c r="AL1386" t="str">
        <f t="shared" si="43"/>
        <v>High Income</v>
      </c>
    </row>
    <row r="1387" spans="1:38"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IF(Table1[[#This Row],[Attrition]]="Yes",1,0)</f>
        <v>0</v>
      </c>
      <c r="AK1387" t="str">
        <f t="shared" si="42"/>
        <v>Mid Career</v>
      </c>
      <c r="AL1387" t="str">
        <f t="shared" si="43"/>
        <v>High Income</v>
      </c>
    </row>
    <row r="1388" spans="1:38"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IF(Table1[[#This Row],[Attrition]]="Yes",1,0)</f>
        <v>0</v>
      </c>
      <c r="AK1388" t="str">
        <f t="shared" si="42"/>
        <v>Young</v>
      </c>
      <c r="AL1388" t="str">
        <f t="shared" si="43"/>
        <v>Low Income</v>
      </c>
    </row>
    <row r="1389" spans="1:38"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IF(Table1[[#This Row],[Attrition]]="Yes",1,0)</f>
        <v>0</v>
      </c>
      <c r="AK1389" t="str">
        <f t="shared" si="42"/>
        <v>Young</v>
      </c>
      <c r="AL1389" t="str">
        <f t="shared" si="43"/>
        <v>Medium Income</v>
      </c>
    </row>
    <row r="1390" spans="1:38"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IF(Table1[[#This Row],[Attrition]]="Yes",1,0)</f>
        <v>0</v>
      </c>
      <c r="AK1390" t="str">
        <f t="shared" si="42"/>
        <v>Mid Career</v>
      </c>
      <c r="AL1390" t="str">
        <f t="shared" si="43"/>
        <v>Medium Income</v>
      </c>
    </row>
    <row r="1391" spans="1:38"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IF(Table1[[#This Row],[Attrition]]="Yes",1,0)</f>
        <v>0</v>
      </c>
      <c r="AK1391" t="str">
        <f t="shared" si="42"/>
        <v>Mid Career</v>
      </c>
      <c r="AL1391" t="str">
        <f t="shared" si="43"/>
        <v>Medium Income</v>
      </c>
    </row>
    <row r="1392" spans="1:38"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IF(Table1[[#This Row],[Attrition]]="Yes",1,0)</f>
        <v>1</v>
      </c>
      <c r="AK1392" t="str">
        <f t="shared" si="42"/>
        <v>Young</v>
      </c>
      <c r="AL1392" t="str">
        <f t="shared" si="43"/>
        <v>Low Income</v>
      </c>
    </row>
    <row r="1393" spans="1:38"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IF(Table1[[#This Row],[Attrition]]="Yes",1,0)</f>
        <v>0</v>
      </c>
      <c r="AK1393" t="str">
        <f t="shared" si="42"/>
        <v>Mid Career</v>
      </c>
      <c r="AL1393" t="str">
        <f t="shared" si="43"/>
        <v>Low Income</v>
      </c>
    </row>
    <row r="1394" spans="1:38"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IF(Table1[[#This Row],[Attrition]]="Yes",1,0)</f>
        <v>0</v>
      </c>
      <c r="AK1394" t="str">
        <f t="shared" si="42"/>
        <v>Mid Career</v>
      </c>
      <c r="AL1394" t="str">
        <f t="shared" si="43"/>
        <v>Medium Income</v>
      </c>
    </row>
    <row r="1395" spans="1:38"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IF(Table1[[#This Row],[Attrition]]="Yes",1,0)</f>
        <v>0</v>
      </c>
      <c r="AK1395" t="str">
        <f t="shared" si="42"/>
        <v>Young</v>
      </c>
      <c r="AL1395" t="str">
        <f t="shared" si="43"/>
        <v>Medium Income</v>
      </c>
    </row>
    <row r="1396" spans="1:38"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IF(Table1[[#This Row],[Attrition]]="Yes",1,0)</f>
        <v>0</v>
      </c>
      <c r="AK1396" t="str">
        <f t="shared" si="42"/>
        <v>Mid Career</v>
      </c>
      <c r="AL1396" t="str">
        <f t="shared" si="43"/>
        <v>High Income</v>
      </c>
    </row>
    <row r="1397" spans="1:38"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IF(Table1[[#This Row],[Attrition]]="Yes",1,0)</f>
        <v>1</v>
      </c>
      <c r="AK1397" t="str">
        <f t="shared" si="42"/>
        <v>Mid Career</v>
      </c>
      <c r="AL1397" t="str">
        <f t="shared" si="43"/>
        <v>Medium Income</v>
      </c>
    </row>
    <row r="1398" spans="1:38"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IF(Table1[[#This Row],[Attrition]]="Yes",1,0)</f>
        <v>1</v>
      </c>
      <c r="AK1398" t="str">
        <f t="shared" si="42"/>
        <v>Senior</v>
      </c>
      <c r="AL1398" t="str">
        <f t="shared" si="43"/>
        <v>High Income</v>
      </c>
    </row>
    <row r="1399" spans="1:38"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IF(Table1[[#This Row],[Attrition]]="Yes",1,0)</f>
        <v>0</v>
      </c>
      <c r="AK1399" t="str">
        <f t="shared" si="42"/>
        <v>Senior</v>
      </c>
      <c r="AL1399" t="str">
        <f t="shared" si="43"/>
        <v>Low Income</v>
      </c>
    </row>
    <row r="1400" spans="1:38"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IF(Table1[[#This Row],[Attrition]]="Yes",1,0)</f>
        <v>0</v>
      </c>
      <c r="AK1400" t="str">
        <f t="shared" si="42"/>
        <v>Mid Career</v>
      </c>
      <c r="AL1400" t="str">
        <f t="shared" si="43"/>
        <v>Medium Income</v>
      </c>
    </row>
    <row r="1401" spans="1:38"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IF(Table1[[#This Row],[Attrition]]="Yes",1,0)</f>
        <v>0</v>
      </c>
      <c r="AK1401" t="str">
        <f t="shared" si="42"/>
        <v>Experienced</v>
      </c>
      <c r="AL1401" t="str">
        <f t="shared" si="43"/>
        <v>High Income</v>
      </c>
    </row>
    <row r="1402" spans="1:38"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IF(Table1[[#This Row],[Attrition]]="Yes",1,0)</f>
        <v>0</v>
      </c>
      <c r="AK1402" t="str">
        <f t="shared" si="42"/>
        <v>Mid Career</v>
      </c>
      <c r="AL1402" t="str">
        <f t="shared" si="43"/>
        <v>Low Income</v>
      </c>
    </row>
    <row r="1403" spans="1:38"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IF(Table1[[#This Row],[Attrition]]="Yes",1,0)</f>
        <v>0</v>
      </c>
      <c r="AK1403" t="str">
        <f t="shared" si="42"/>
        <v>Senior</v>
      </c>
      <c r="AL1403" t="str">
        <f t="shared" si="43"/>
        <v>High Income</v>
      </c>
    </row>
    <row r="1404" spans="1:38"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IF(Table1[[#This Row],[Attrition]]="Yes",1,0)</f>
        <v>0</v>
      </c>
      <c r="AK1404" t="str">
        <f t="shared" si="42"/>
        <v>Mid Career</v>
      </c>
      <c r="AL1404" t="str">
        <f t="shared" si="43"/>
        <v>Low Income</v>
      </c>
    </row>
    <row r="1405" spans="1:38"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IF(Table1[[#This Row],[Attrition]]="Yes",1,0)</f>
        <v>0</v>
      </c>
      <c r="AK1405" t="str">
        <f t="shared" si="42"/>
        <v>Mid Career</v>
      </c>
      <c r="AL1405" t="str">
        <f t="shared" si="43"/>
        <v>High Income</v>
      </c>
    </row>
    <row r="1406" spans="1:38"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IF(Table1[[#This Row],[Attrition]]="Yes",1,0)</f>
        <v>0</v>
      </c>
      <c r="AK1406" t="str">
        <f t="shared" si="42"/>
        <v>Experienced</v>
      </c>
      <c r="AL1406" t="str">
        <f t="shared" si="43"/>
        <v>Medium Income</v>
      </c>
    </row>
    <row r="1407" spans="1:38"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IF(Table1[[#This Row],[Attrition]]="Yes",1,0)</f>
        <v>0</v>
      </c>
      <c r="AK1407" t="str">
        <f t="shared" si="42"/>
        <v>Mid Career</v>
      </c>
      <c r="AL1407" t="str">
        <f t="shared" si="43"/>
        <v>High Income</v>
      </c>
    </row>
    <row r="1408" spans="1:38"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IF(Table1[[#This Row],[Attrition]]="Yes",1,0)</f>
        <v>0</v>
      </c>
      <c r="AK1408" t="str">
        <f t="shared" si="42"/>
        <v>Senior</v>
      </c>
      <c r="AL1408" t="str">
        <f t="shared" si="43"/>
        <v>Medium Income</v>
      </c>
    </row>
    <row r="1409" spans="1:38"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IF(Table1[[#This Row],[Attrition]]="Yes",1,0)</f>
        <v>0</v>
      </c>
      <c r="AK1409" t="str">
        <f t="shared" si="42"/>
        <v>Young</v>
      </c>
      <c r="AL1409" t="str">
        <f t="shared" si="43"/>
        <v>Medium Income</v>
      </c>
    </row>
    <row r="1410" spans="1:38"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IF(Table1[[#This Row],[Attrition]]="Yes",1,0)</f>
        <v>0</v>
      </c>
      <c r="AK1410" t="str">
        <f t="shared" ref="AK1410:AK1471" si="44">IF(A1410&lt;30,"Young",
IF(A1410&lt;40,"Mid Career",
IF(A1410&lt;50,"Experienced","Senior")))</f>
        <v>Young</v>
      </c>
      <c r="AL1410" t="str">
        <f t="shared" ref="AL1410:AL1471" si="45">IF(S1410&lt;3000,"Low Income",IF(S1410&lt;7000,"Medium Income","High Income"))</f>
        <v>Low Income</v>
      </c>
    </row>
    <row r="1411" spans="1:38"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IF(Table1[[#This Row],[Attrition]]="Yes",1,0)</f>
        <v>0</v>
      </c>
      <c r="AK1411" t="str">
        <f t="shared" si="44"/>
        <v>Experienced</v>
      </c>
      <c r="AL1411" t="str">
        <f t="shared" si="45"/>
        <v>Medium Income</v>
      </c>
    </row>
    <row r="1412" spans="1:38"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IF(Table1[[#This Row],[Attrition]]="Yes",1,0)</f>
        <v>0</v>
      </c>
      <c r="AK1412" t="str">
        <f t="shared" si="44"/>
        <v>Experienced</v>
      </c>
      <c r="AL1412" t="str">
        <f t="shared" si="45"/>
        <v>Medium Income</v>
      </c>
    </row>
    <row r="1413" spans="1:38"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IF(Table1[[#This Row],[Attrition]]="Yes",1,0)</f>
        <v>0</v>
      </c>
      <c r="AK1413" t="str">
        <f t="shared" si="44"/>
        <v>Young</v>
      </c>
      <c r="AL1413" t="str">
        <f t="shared" si="45"/>
        <v>Low Income</v>
      </c>
    </row>
    <row r="1414" spans="1:38"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IF(Table1[[#This Row],[Attrition]]="Yes",1,0)</f>
        <v>0</v>
      </c>
      <c r="AK1414" t="str">
        <f t="shared" si="44"/>
        <v>Mid Career</v>
      </c>
      <c r="AL1414" t="str">
        <f t="shared" si="45"/>
        <v>Medium Income</v>
      </c>
    </row>
    <row r="1415" spans="1:38"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IF(Table1[[#This Row],[Attrition]]="Yes",1,0)</f>
        <v>0</v>
      </c>
      <c r="AK1415" t="str">
        <f t="shared" si="44"/>
        <v>Young</v>
      </c>
      <c r="AL1415" t="str">
        <f t="shared" si="45"/>
        <v>Medium Income</v>
      </c>
    </row>
    <row r="1416" spans="1:38"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IF(Table1[[#This Row],[Attrition]]="Yes",1,0)</f>
        <v>0</v>
      </c>
      <c r="AK1416" t="str">
        <f t="shared" si="44"/>
        <v>Experienced</v>
      </c>
      <c r="AL1416" t="str">
        <f t="shared" si="45"/>
        <v>High Income</v>
      </c>
    </row>
    <row r="1417" spans="1:38"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IF(Table1[[#This Row],[Attrition]]="Yes",1,0)</f>
        <v>0</v>
      </c>
      <c r="AK1417" t="str">
        <f t="shared" si="44"/>
        <v>Mid Career</v>
      </c>
      <c r="AL1417" t="str">
        <f t="shared" si="45"/>
        <v>Low Income</v>
      </c>
    </row>
    <row r="1418" spans="1:38"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IF(Table1[[#This Row],[Attrition]]="Yes",1,0)</f>
        <v>0</v>
      </c>
      <c r="AK1418" t="str">
        <f t="shared" si="44"/>
        <v>Mid Career</v>
      </c>
      <c r="AL1418" t="str">
        <f t="shared" si="45"/>
        <v>Medium Income</v>
      </c>
    </row>
    <row r="1419" spans="1:38"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IF(Table1[[#This Row],[Attrition]]="Yes",1,0)</f>
        <v>0</v>
      </c>
      <c r="AK1419" t="str">
        <f t="shared" si="44"/>
        <v>Mid Career</v>
      </c>
      <c r="AL1419" t="str">
        <f t="shared" si="45"/>
        <v>Medium Income</v>
      </c>
    </row>
    <row r="1420" spans="1:38"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IF(Table1[[#This Row],[Attrition]]="Yes",1,0)</f>
        <v>0</v>
      </c>
      <c r="AK1420" t="str">
        <f t="shared" si="44"/>
        <v>Mid Career</v>
      </c>
      <c r="AL1420" t="str">
        <f t="shared" si="45"/>
        <v>Medium Income</v>
      </c>
    </row>
    <row r="1421" spans="1:38"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IF(Table1[[#This Row],[Attrition]]="Yes",1,0)</f>
        <v>0</v>
      </c>
      <c r="AK1421" t="str">
        <f t="shared" si="44"/>
        <v>Experienced</v>
      </c>
      <c r="AL1421" t="str">
        <f t="shared" si="45"/>
        <v>Medium Income</v>
      </c>
    </row>
    <row r="1422" spans="1:38"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IF(Table1[[#This Row],[Attrition]]="Yes",1,0)</f>
        <v>0</v>
      </c>
      <c r="AK1422" t="str">
        <f t="shared" si="44"/>
        <v>Experienced</v>
      </c>
      <c r="AL1422" t="str">
        <f t="shared" si="45"/>
        <v>Low Income</v>
      </c>
    </row>
    <row r="1423" spans="1:38"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IF(Table1[[#This Row],[Attrition]]="Yes",1,0)</f>
        <v>0</v>
      </c>
      <c r="AK1423" t="str">
        <f t="shared" si="44"/>
        <v>Experienced</v>
      </c>
      <c r="AL1423" t="str">
        <f t="shared" si="45"/>
        <v>High Income</v>
      </c>
    </row>
    <row r="1424" spans="1:38"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IF(Table1[[#This Row],[Attrition]]="Yes",1,0)</f>
        <v>0</v>
      </c>
      <c r="AK1424" t="str">
        <f t="shared" si="44"/>
        <v>Mid Career</v>
      </c>
      <c r="AL1424" t="str">
        <f t="shared" si="45"/>
        <v>Low Income</v>
      </c>
    </row>
    <row r="1425" spans="1:38"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IF(Table1[[#This Row],[Attrition]]="Yes",1,0)</f>
        <v>0</v>
      </c>
      <c r="AK1425" t="str">
        <f t="shared" si="44"/>
        <v>Young</v>
      </c>
      <c r="AL1425" t="str">
        <f t="shared" si="45"/>
        <v>Medium Income</v>
      </c>
    </row>
    <row r="1426" spans="1:38"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IF(Table1[[#This Row],[Attrition]]="Yes",1,0)</f>
        <v>0</v>
      </c>
      <c r="AK1426" t="str">
        <f t="shared" si="44"/>
        <v>Mid Career</v>
      </c>
      <c r="AL1426" t="str">
        <f t="shared" si="45"/>
        <v>Medium Income</v>
      </c>
    </row>
    <row r="1427" spans="1:38"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IF(Table1[[#This Row],[Attrition]]="Yes",1,0)</f>
        <v>0</v>
      </c>
      <c r="AK1427" t="str">
        <f t="shared" si="44"/>
        <v>Mid Career</v>
      </c>
      <c r="AL1427" t="str">
        <f t="shared" si="45"/>
        <v>Medium Income</v>
      </c>
    </row>
    <row r="1428" spans="1:38"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IF(Table1[[#This Row],[Attrition]]="Yes",1,0)</f>
        <v>0</v>
      </c>
      <c r="AK1428" t="str">
        <f t="shared" si="44"/>
        <v>Mid Career</v>
      </c>
      <c r="AL1428" t="str">
        <f t="shared" si="45"/>
        <v>Low Income</v>
      </c>
    </row>
    <row r="1429" spans="1:38"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IF(Table1[[#This Row],[Attrition]]="Yes",1,0)</f>
        <v>0</v>
      </c>
      <c r="AK1429" t="str">
        <f t="shared" si="44"/>
        <v>Experienced</v>
      </c>
      <c r="AL1429" t="str">
        <f t="shared" si="45"/>
        <v>Low Income</v>
      </c>
    </row>
    <row r="1430" spans="1:38"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IF(Table1[[#This Row],[Attrition]]="Yes",1,0)</f>
        <v>0</v>
      </c>
      <c r="AK1430" t="str">
        <f t="shared" si="44"/>
        <v>Mid Career</v>
      </c>
      <c r="AL1430" t="str">
        <f t="shared" si="45"/>
        <v>Low Income</v>
      </c>
    </row>
    <row r="1431" spans="1:38"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IF(Table1[[#This Row],[Attrition]]="Yes",1,0)</f>
        <v>0</v>
      </c>
      <c r="AK1431" t="str">
        <f t="shared" si="44"/>
        <v>Mid Career</v>
      </c>
      <c r="AL1431" t="str">
        <f t="shared" si="45"/>
        <v>Medium Income</v>
      </c>
    </row>
    <row r="1432" spans="1:38"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IF(Table1[[#This Row],[Attrition]]="Yes",1,0)</f>
        <v>0</v>
      </c>
      <c r="AK1432" t="str">
        <f t="shared" si="44"/>
        <v>Mid Career</v>
      </c>
      <c r="AL1432" t="str">
        <f t="shared" si="45"/>
        <v>High Income</v>
      </c>
    </row>
    <row r="1433" spans="1:38"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IF(Table1[[#This Row],[Attrition]]="Yes",1,0)</f>
        <v>0</v>
      </c>
      <c r="AK1433" t="str">
        <f t="shared" si="44"/>
        <v>Mid Career</v>
      </c>
      <c r="AL1433" t="str">
        <f t="shared" si="45"/>
        <v>High Income</v>
      </c>
    </row>
    <row r="1434" spans="1:38"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IF(Table1[[#This Row],[Attrition]]="Yes",1,0)</f>
        <v>0</v>
      </c>
      <c r="AK1434" t="str">
        <f t="shared" si="44"/>
        <v>Mid Career</v>
      </c>
      <c r="AL1434" t="str">
        <f t="shared" si="45"/>
        <v>High Income</v>
      </c>
    </row>
    <row r="1435" spans="1:38"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IF(Table1[[#This Row],[Attrition]]="Yes",1,0)</f>
        <v>0</v>
      </c>
      <c r="AK1435" t="str">
        <f t="shared" si="44"/>
        <v>Young</v>
      </c>
      <c r="AL1435" t="str">
        <f t="shared" si="45"/>
        <v>Medium Income</v>
      </c>
    </row>
    <row r="1436" spans="1:38"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IF(Table1[[#This Row],[Attrition]]="Yes",1,0)</f>
        <v>0</v>
      </c>
      <c r="AK1436" t="str">
        <f t="shared" si="44"/>
        <v>Senior</v>
      </c>
      <c r="AL1436" t="str">
        <f t="shared" si="45"/>
        <v>Medium Income</v>
      </c>
    </row>
    <row r="1437" spans="1:38"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IF(Table1[[#This Row],[Attrition]]="Yes",1,0)</f>
        <v>0</v>
      </c>
      <c r="AK1437" t="str">
        <f t="shared" si="44"/>
        <v>Experienced</v>
      </c>
      <c r="AL1437" t="str">
        <f t="shared" si="45"/>
        <v>Low Income</v>
      </c>
    </row>
    <row r="1438" spans="1:38"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IF(Table1[[#This Row],[Attrition]]="Yes",1,0)</f>
        <v>0</v>
      </c>
      <c r="AK1438" t="str">
        <f t="shared" si="44"/>
        <v>Young</v>
      </c>
      <c r="AL1438" t="str">
        <f t="shared" si="45"/>
        <v>Low Income</v>
      </c>
    </row>
    <row r="1439" spans="1:38"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IF(Table1[[#This Row],[Attrition]]="Yes",1,0)</f>
        <v>0</v>
      </c>
      <c r="AK1439" t="str">
        <f t="shared" si="44"/>
        <v>Mid Career</v>
      </c>
      <c r="AL1439" t="str">
        <f t="shared" si="45"/>
        <v>High Income</v>
      </c>
    </row>
    <row r="1440" spans="1:38"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IF(Table1[[#This Row],[Attrition]]="Yes",1,0)</f>
        <v>1</v>
      </c>
      <c r="AK1440" t="str">
        <f t="shared" si="44"/>
        <v>Young</v>
      </c>
      <c r="AL1440" t="str">
        <f t="shared" si="45"/>
        <v>Low Income</v>
      </c>
    </row>
    <row r="1441" spans="1:38"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IF(Table1[[#This Row],[Attrition]]="Yes",1,0)</f>
        <v>0</v>
      </c>
      <c r="AK1441" t="str">
        <f t="shared" si="44"/>
        <v>Mid Career</v>
      </c>
      <c r="AL1441" t="str">
        <f t="shared" si="45"/>
        <v>High Income</v>
      </c>
    </row>
    <row r="1442" spans="1:38"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IF(Table1[[#This Row],[Attrition]]="Yes",1,0)</f>
        <v>0</v>
      </c>
      <c r="AK1442" t="str">
        <f t="shared" si="44"/>
        <v>Mid Career</v>
      </c>
      <c r="AL1442" t="str">
        <f t="shared" si="45"/>
        <v>Medium Income</v>
      </c>
    </row>
    <row r="1443" spans="1:38"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IF(Table1[[#This Row],[Attrition]]="Yes",1,0)</f>
        <v>0</v>
      </c>
      <c r="AK1443" t="str">
        <f t="shared" si="44"/>
        <v>Senior</v>
      </c>
      <c r="AL1443" t="str">
        <f t="shared" si="45"/>
        <v>Medium Income</v>
      </c>
    </row>
    <row r="1444" spans="1:38"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IF(Table1[[#This Row],[Attrition]]="Yes",1,0)</f>
        <v>1</v>
      </c>
      <c r="AK1444" t="str">
        <f t="shared" si="44"/>
        <v>Young</v>
      </c>
      <c r="AL1444" t="str">
        <f t="shared" si="45"/>
        <v>Medium Income</v>
      </c>
    </row>
    <row r="1445" spans="1:38"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IF(Table1[[#This Row],[Attrition]]="Yes",1,0)</f>
        <v>0</v>
      </c>
      <c r="AK1445" t="str">
        <f t="shared" si="44"/>
        <v>Experienced</v>
      </c>
      <c r="AL1445" t="str">
        <f t="shared" si="45"/>
        <v>High Income</v>
      </c>
    </row>
    <row r="1446" spans="1:38"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IF(Table1[[#This Row],[Attrition]]="Yes",1,0)</f>
        <v>1</v>
      </c>
      <c r="AK1446" t="str">
        <f t="shared" si="44"/>
        <v>Senior</v>
      </c>
      <c r="AL1446" t="str">
        <f t="shared" si="45"/>
        <v>Low Income</v>
      </c>
    </row>
    <row r="1447" spans="1:38"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IF(Table1[[#This Row],[Attrition]]="Yes",1,0)</f>
        <v>0</v>
      </c>
      <c r="AK1447" t="str">
        <f t="shared" si="44"/>
        <v>Experienced</v>
      </c>
      <c r="AL1447" t="str">
        <f t="shared" si="45"/>
        <v>High Income</v>
      </c>
    </row>
    <row r="1448" spans="1:38"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IF(Table1[[#This Row],[Attrition]]="Yes",1,0)</f>
        <v>0</v>
      </c>
      <c r="AK1448" t="str">
        <f t="shared" si="44"/>
        <v>Mid Career</v>
      </c>
      <c r="AL1448" t="str">
        <f t="shared" si="45"/>
        <v>Medium Income</v>
      </c>
    </row>
    <row r="1449" spans="1:38"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IF(Table1[[#This Row],[Attrition]]="Yes",1,0)</f>
        <v>0</v>
      </c>
      <c r="AK1449" t="str">
        <f t="shared" si="44"/>
        <v>Mid Career</v>
      </c>
      <c r="AL1449" t="str">
        <f t="shared" si="45"/>
        <v>Medium Income</v>
      </c>
    </row>
    <row r="1450" spans="1:38"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IF(Table1[[#This Row],[Attrition]]="Yes",1,0)</f>
        <v>0</v>
      </c>
      <c r="AK1450" t="str">
        <f t="shared" si="44"/>
        <v>Experienced</v>
      </c>
      <c r="AL1450" t="str">
        <f t="shared" si="45"/>
        <v>High Income</v>
      </c>
    </row>
    <row r="1451" spans="1:38"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IF(Table1[[#This Row],[Attrition]]="Yes",1,0)</f>
        <v>0</v>
      </c>
      <c r="AK1451" t="str">
        <f t="shared" si="44"/>
        <v>Mid Career</v>
      </c>
      <c r="AL1451" t="str">
        <f t="shared" si="45"/>
        <v>Low Income</v>
      </c>
    </row>
    <row r="1452" spans="1:38"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IF(Table1[[#This Row],[Attrition]]="Yes",1,0)</f>
        <v>0</v>
      </c>
      <c r="AK1452" t="str">
        <f t="shared" si="44"/>
        <v>Mid Career</v>
      </c>
      <c r="AL1452" t="str">
        <f t="shared" si="45"/>
        <v>High Income</v>
      </c>
    </row>
    <row r="1453" spans="1:38"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IF(Table1[[#This Row],[Attrition]]="Yes",1,0)</f>
        <v>0</v>
      </c>
      <c r="AK1453" t="str">
        <f t="shared" si="44"/>
        <v>Mid Career</v>
      </c>
      <c r="AL1453" t="str">
        <f t="shared" si="45"/>
        <v>Medium Income</v>
      </c>
    </row>
    <row r="1454" spans="1:38"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IF(Table1[[#This Row],[Attrition]]="Yes",1,0)</f>
        <v>1</v>
      </c>
      <c r="AK1454" t="str">
        <f t="shared" si="44"/>
        <v>Senior</v>
      </c>
      <c r="AL1454" t="str">
        <f t="shared" si="45"/>
        <v>Medium Income</v>
      </c>
    </row>
    <row r="1455" spans="1:38"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IF(Table1[[#This Row],[Attrition]]="Yes",1,0)</f>
        <v>0</v>
      </c>
      <c r="AK1455" t="str">
        <f t="shared" si="44"/>
        <v>Mid Career</v>
      </c>
      <c r="AL1455" t="str">
        <f t="shared" si="45"/>
        <v>Medium Income</v>
      </c>
    </row>
    <row r="1456" spans="1:38"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IF(Table1[[#This Row],[Attrition]]="Yes",1,0)</f>
        <v>0</v>
      </c>
      <c r="AK1456" t="str">
        <f t="shared" si="44"/>
        <v>Experienced</v>
      </c>
      <c r="AL1456" t="str">
        <f t="shared" si="45"/>
        <v>Medium Income</v>
      </c>
    </row>
    <row r="1457" spans="1:38"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IF(Table1[[#This Row],[Attrition]]="Yes",1,0)</f>
        <v>0</v>
      </c>
      <c r="AK1457" t="str">
        <f t="shared" si="44"/>
        <v>Experienced</v>
      </c>
      <c r="AL1457" t="str">
        <f t="shared" si="45"/>
        <v>Low Income</v>
      </c>
    </row>
    <row r="1458" spans="1:38"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IF(Table1[[#This Row],[Attrition]]="Yes",1,0)</f>
        <v>0</v>
      </c>
      <c r="AK1458" t="str">
        <f t="shared" si="44"/>
        <v>Mid Career</v>
      </c>
      <c r="AL1458" t="str">
        <f t="shared" si="45"/>
        <v>Medium Income</v>
      </c>
    </row>
    <row r="1459" spans="1:38"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IF(Table1[[#This Row],[Attrition]]="Yes",1,0)</f>
        <v>0</v>
      </c>
      <c r="AK1459" t="str">
        <f t="shared" si="44"/>
        <v>Experienced</v>
      </c>
      <c r="AL1459" t="str">
        <f t="shared" si="45"/>
        <v>Low Income</v>
      </c>
    </row>
    <row r="1460" spans="1:38"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IF(Table1[[#This Row],[Attrition]]="Yes",1,0)</f>
        <v>0</v>
      </c>
      <c r="AK1460" t="str">
        <f t="shared" si="44"/>
        <v>Mid Career</v>
      </c>
      <c r="AL1460" t="str">
        <f t="shared" si="45"/>
        <v>Low Income</v>
      </c>
    </row>
    <row r="1461" spans="1:38"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IF(Table1[[#This Row],[Attrition]]="Yes",1,0)</f>
        <v>0</v>
      </c>
      <c r="AK1461" t="str">
        <f t="shared" si="44"/>
        <v>Young</v>
      </c>
      <c r="AL1461" t="str">
        <f t="shared" si="45"/>
        <v>Medium Income</v>
      </c>
    </row>
    <row r="1462" spans="1:38"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IF(Table1[[#This Row],[Attrition]]="Yes",1,0)</f>
        <v>0</v>
      </c>
      <c r="AK1462" t="str">
        <f t="shared" si="44"/>
        <v>Young</v>
      </c>
      <c r="AL1462" t="str">
        <f t="shared" si="45"/>
        <v>Medium Income</v>
      </c>
    </row>
    <row r="1463" spans="1:38"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IF(Table1[[#This Row],[Attrition]]="Yes",1,0)</f>
        <v>1</v>
      </c>
      <c r="AK1463" t="str">
        <f t="shared" si="44"/>
        <v>Senior</v>
      </c>
      <c r="AL1463" t="str">
        <f t="shared" si="45"/>
        <v>High Income</v>
      </c>
    </row>
    <row r="1464" spans="1:38"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IF(Table1[[#This Row],[Attrition]]="Yes",1,0)</f>
        <v>0</v>
      </c>
      <c r="AK1464" t="str">
        <f t="shared" si="44"/>
        <v>Mid Career</v>
      </c>
      <c r="AL1464" t="str">
        <f t="shared" si="45"/>
        <v>High Income</v>
      </c>
    </row>
    <row r="1465" spans="1:38"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IF(Table1[[#This Row],[Attrition]]="Yes",1,0)</f>
        <v>0</v>
      </c>
      <c r="AK1465" t="str">
        <f t="shared" si="44"/>
        <v>Mid Career</v>
      </c>
      <c r="AL1465" t="str">
        <f t="shared" si="45"/>
        <v>High Income</v>
      </c>
    </row>
    <row r="1466" spans="1:38"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IF(Table1[[#This Row],[Attrition]]="Yes",1,0)</f>
        <v>0</v>
      </c>
      <c r="AK1466" t="str">
        <f t="shared" si="44"/>
        <v>Young</v>
      </c>
      <c r="AL1466" t="str">
        <f t="shared" si="45"/>
        <v>Low Income</v>
      </c>
    </row>
    <row r="1467" spans="1:38"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IF(Table1[[#This Row],[Attrition]]="Yes",1,0)</f>
        <v>0</v>
      </c>
      <c r="AK1467" t="str">
        <f t="shared" si="44"/>
        <v>Mid Career</v>
      </c>
      <c r="AL1467" t="str">
        <f t="shared" si="45"/>
        <v>Low Income</v>
      </c>
    </row>
    <row r="1468" spans="1:38"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IF(Table1[[#This Row],[Attrition]]="Yes",1,0)</f>
        <v>0</v>
      </c>
      <c r="AK1468" t="str">
        <f t="shared" si="44"/>
        <v>Mid Career</v>
      </c>
      <c r="AL1468" t="str">
        <f t="shared" si="45"/>
        <v>High Income</v>
      </c>
    </row>
    <row r="1469" spans="1:38"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IF(Table1[[#This Row],[Attrition]]="Yes",1,0)</f>
        <v>0</v>
      </c>
      <c r="AK1469" t="str">
        <f t="shared" si="44"/>
        <v>Young</v>
      </c>
      <c r="AL1469" t="str">
        <f t="shared" si="45"/>
        <v>Medium Income</v>
      </c>
    </row>
    <row r="1470" spans="1:38"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IF(Table1[[#This Row],[Attrition]]="Yes",1,0)</f>
        <v>0</v>
      </c>
      <c r="AK1470" t="str">
        <f t="shared" si="44"/>
        <v>Experienced</v>
      </c>
      <c r="AL1470" t="str">
        <f t="shared" si="45"/>
        <v>Medium Income</v>
      </c>
    </row>
    <row r="1471" spans="1:38"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IF(Table1[[#This Row],[Attrition]]="Yes",1,0)</f>
        <v>0</v>
      </c>
      <c r="AK1471" t="str">
        <f t="shared" si="44"/>
        <v>Mid Career</v>
      </c>
      <c r="AL1471" t="str">
        <f t="shared" si="45"/>
        <v>Medium Income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F762-3093-4A39-B3D2-E044DB0B0429}">
  <dimension ref="B3:F45"/>
  <sheetViews>
    <sheetView topLeftCell="D1" workbookViewId="0">
      <selection activeCell="F6" sqref="F6"/>
    </sheetView>
  </sheetViews>
  <sheetFormatPr defaultRowHeight="14.4" x14ac:dyDescent="0.3"/>
  <cols>
    <col min="2" max="2" width="21.88671875" bestFit="1" customWidth="1"/>
    <col min="3" max="4" width="18.44140625" bestFit="1" customWidth="1"/>
    <col min="5" max="5" width="12.5546875" bestFit="1" customWidth="1"/>
    <col min="6" max="6" width="18.44140625" bestFit="1" customWidth="1"/>
    <col min="7" max="7" width="14.33203125" bestFit="1" customWidth="1"/>
    <col min="8" max="8" width="18.44140625" bestFit="1" customWidth="1"/>
  </cols>
  <sheetData>
    <row r="3" spans="2:6" x14ac:dyDescent="0.3">
      <c r="B3" s="15" t="s">
        <v>89</v>
      </c>
      <c r="C3" t="s">
        <v>99</v>
      </c>
      <c r="E3" s="15" t="s">
        <v>89</v>
      </c>
      <c r="F3" t="s">
        <v>99</v>
      </c>
    </row>
    <row r="4" spans="2:6" x14ac:dyDescent="0.3">
      <c r="B4" s="16" t="s">
        <v>45</v>
      </c>
      <c r="C4" s="22">
        <v>133</v>
      </c>
      <c r="E4" s="16" t="s">
        <v>98</v>
      </c>
      <c r="F4" s="22">
        <v>91</v>
      </c>
    </row>
    <row r="5" spans="2:6" x14ac:dyDescent="0.3">
      <c r="B5" s="16" t="s">
        <v>37</v>
      </c>
      <c r="C5" s="22">
        <v>92</v>
      </c>
      <c r="E5" s="16" t="s">
        <v>96</v>
      </c>
      <c r="F5" s="22">
        <v>89</v>
      </c>
    </row>
    <row r="6" spans="2:6" x14ac:dyDescent="0.3">
      <c r="B6" s="16" t="s">
        <v>61</v>
      </c>
      <c r="C6" s="22">
        <v>12</v>
      </c>
      <c r="E6" s="16" t="s">
        <v>95</v>
      </c>
      <c r="F6" s="22">
        <v>34</v>
      </c>
    </row>
    <row r="7" spans="2:6" x14ac:dyDescent="0.3">
      <c r="B7" s="16" t="s">
        <v>90</v>
      </c>
      <c r="C7" s="22">
        <v>237</v>
      </c>
      <c r="E7" s="16" t="s">
        <v>97</v>
      </c>
      <c r="F7" s="22">
        <v>23</v>
      </c>
    </row>
    <row r="8" spans="2:6" x14ac:dyDescent="0.3">
      <c r="E8" s="16" t="s">
        <v>90</v>
      </c>
      <c r="F8" s="22">
        <v>237</v>
      </c>
    </row>
    <row r="12" spans="2:6" x14ac:dyDescent="0.3">
      <c r="B12" s="15" t="s">
        <v>89</v>
      </c>
      <c r="C12" t="s">
        <v>99</v>
      </c>
      <c r="E12" s="15" t="s">
        <v>89</v>
      </c>
      <c r="F12" t="s">
        <v>99</v>
      </c>
    </row>
    <row r="13" spans="2:6" x14ac:dyDescent="0.3">
      <c r="B13" s="16" t="s">
        <v>50</v>
      </c>
      <c r="C13" s="22">
        <v>62</v>
      </c>
      <c r="E13" s="16" t="s">
        <v>93</v>
      </c>
      <c r="F13" s="22">
        <v>113</v>
      </c>
    </row>
    <row r="14" spans="2:6" x14ac:dyDescent="0.3">
      <c r="B14" s="16" t="s">
        <v>40</v>
      </c>
      <c r="C14" s="22">
        <v>57</v>
      </c>
      <c r="E14" s="16" t="s">
        <v>94</v>
      </c>
      <c r="F14" s="22">
        <v>77</v>
      </c>
    </row>
    <row r="15" spans="2:6" x14ac:dyDescent="0.3">
      <c r="B15" s="16" t="s">
        <v>47</v>
      </c>
      <c r="C15" s="22">
        <v>47</v>
      </c>
      <c r="E15" s="16" t="s">
        <v>92</v>
      </c>
      <c r="F15" s="22">
        <v>47</v>
      </c>
    </row>
    <row r="16" spans="2:6" x14ac:dyDescent="0.3">
      <c r="B16" s="16" t="s">
        <v>57</v>
      </c>
      <c r="C16" s="22">
        <v>33</v>
      </c>
      <c r="E16" s="16" t="s">
        <v>90</v>
      </c>
      <c r="F16" s="22">
        <v>237</v>
      </c>
    </row>
    <row r="17" spans="2:6" x14ac:dyDescent="0.3">
      <c r="B17" s="16" t="s">
        <v>61</v>
      </c>
      <c r="C17" s="22">
        <v>12</v>
      </c>
    </row>
    <row r="18" spans="2:6" x14ac:dyDescent="0.3">
      <c r="B18" s="16" t="s">
        <v>53</v>
      </c>
      <c r="C18" s="22">
        <v>10</v>
      </c>
    </row>
    <row r="19" spans="2:6" x14ac:dyDescent="0.3">
      <c r="B19" s="16" t="s">
        <v>54</v>
      </c>
      <c r="C19" s="22">
        <v>9</v>
      </c>
    </row>
    <row r="20" spans="2:6" x14ac:dyDescent="0.3">
      <c r="B20" s="16" t="s">
        <v>56</v>
      </c>
      <c r="C20" s="22">
        <v>5</v>
      </c>
      <c r="E20" s="15" t="s">
        <v>89</v>
      </c>
      <c r="F20" t="s">
        <v>99</v>
      </c>
    </row>
    <row r="21" spans="2:6" x14ac:dyDescent="0.3">
      <c r="B21" s="16" t="s">
        <v>58</v>
      </c>
      <c r="C21" s="22">
        <v>2</v>
      </c>
      <c r="E21" s="16" t="s">
        <v>43</v>
      </c>
      <c r="F21">
        <v>110</v>
      </c>
    </row>
    <row r="22" spans="2:6" x14ac:dyDescent="0.3">
      <c r="B22" s="16" t="s">
        <v>90</v>
      </c>
      <c r="C22" s="22">
        <v>237</v>
      </c>
      <c r="E22" s="16" t="s">
        <v>35</v>
      </c>
      <c r="F22">
        <v>127</v>
      </c>
    </row>
    <row r="23" spans="2:6" x14ac:dyDescent="0.3">
      <c r="E23" s="16" t="s">
        <v>90</v>
      </c>
      <c r="F23">
        <v>237</v>
      </c>
    </row>
    <row r="28" spans="2:6" x14ac:dyDescent="0.3">
      <c r="B28" s="6"/>
      <c r="C28" s="7"/>
      <c r="D28" s="8"/>
    </row>
    <row r="29" spans="2:6" x14ac:dyDescent="0.3">
      <c r="B29" s="9"/>
      <c r="C29" s="10"/>
      <c r="D29" s="11"/>
    </row>
    <row r="30" spans="2:6" x14ac:dyDescent="0.3">
      <c r="B30" s="9"/>
      <c r="C30" s="10"/>
      <c r="D30" s="11"/>
    </row>
    <row r="31" spans="2:6" x14ac:dyDescent="0.3">
      <c r="B31" s="9"/>
      <c r="C31" s="10"/>
      <c r="D31" s="11"/>
    </row>
    <row r="32" spans="2:6" x14ac:dyDescent="0.3">
      <c r="B32" s="9"/>
      <c r="C32" s="10"/>
      <c r="D32" s="11"/>
    </row>
    <row r="33" spans="2:4" x14ac:dyDescent="0.3">
      <c r="B33" s="9"/>
      <c r="C33" s="10"/>
      <c r="D33" s="11"/>
    </row>
    <row r="34" spans="2:4" x14ac:dyDescent="0.3">
      <c r="B34" s="9"/>
      <c r="C34" s="10"/>
      <c r="D34" s="11"/>
    </row>
    <row r="35" spans="2:4" x14ac:dyDescent="0.3">
      <c r="B35" s="9"/>
      <c r="C35" s="10"/>
      <c r="D35" s="11"/>
    </row>
    <row r="36" spans="2:4" x14ac:dyDescent="0.3">
      <c r="B36" s="9"/>
      <c r="C36" s="10"/>
      <c r="D36" s="11"/>
    </row>
    <row r="37" spans="2:4" x14ac:dyDescent="0.3">
      <c r="B37" s="9"/>
      <c r="C37" s="10"/>
      <c r="D37" s="11"/>
    </row>
    <row r="38" spans="2:4" x14ac:dyDescent="0.3">
      <c r="B38" s="9"/>
      <c r="C38" s="10"/>
      <c r="D38" s="11"/>
    </row>
    <row r="39" spans="2:4" x14ac:dyDescent="0.3">
      <c r="B39" s="9"/>
      <c r="C39" s="10"/>
      <c r="D39" s="11"/>
    </row>
    <row r="40" spans="2:4" x14ac:dyDescent="0.3">
      <c r="B40" s="9"/>
      <c r="C40" s="10"/>
      <c r="D40" s="11"/>
    </row>
    <row r="41" spans="2:4" x14ac:dyDescent="0.3">
      <c r="B41" s="9"/>
      <c r="C41" s="10"/>
      <c r="D41" s="11"/>
    </row>
    <row r="42" spans="2:4" x14ac:dyDescent="0.3">
      <c r="B42" s="9"/>
      <c r="C42" s="10"/>
      <c r="D42" s="11"/>
    </row>
    <row r="43" spans="2:4" x14ac:dyDescent="0.3">
      <c r="B43" s="9"/>
      <c r="C43" s="10"/>
      <c r="D43" s="11"/>
    </row>
    <row r="44" spans="2:4" x14ac:dyDescent="0.3">
      <c r="B44" s="9"/>
      <c r="C44" s="10"/>
      <c r="D44" s="11"/>
    </row>
    <row r="45" spans="2:4" x14ac:dyDescent="0.3">
      <c r="B45" s="12"/>
      <c r="C45" s="13"/>
      <c r="D45"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B10A-F7E8-4B58-B7A1-B7C866D7CF1F}">
  <sheetPr>
    <pageSetUpPr fitToPage="1"/>
  </sheetPr>
  <dimension ref="A1:U95"/>
  <sheetViews>
    <sheetView showGridLines="0" tabSelected="1" zoomScale="45" zoomScaleNormal="37" workbookViewId="0">
      <selection sqref="A1:U95"/>
    </sheetView>
  </sheetViews>
  <sheetFormatPr defaultRowHeight="14.4" x14ac:dyDescent="0.3"/>
  <sheetData>
    <row r="1" spans="1:21" x14ac:dyDescent="0.3">
      <c r="A1" s="20" t="s">
        <v>101</v>
      </c>
      <c r="B1" s="21"/>
      <c r="C1" s="21"/>
      <c r="D1" s="21"/>
      <c r="E1" s="21"/>
      <c r="F1" s="21"/>
      <c r="G1" s="21"/>
      <c r="H1" s="21"/>
      <c r="I1" s="21"/>
      <c r="J1" s="21"/>
      <c r="K1" s="21"/>
      <c r="L1" s="21"/>
      <c r="M1" s="21"/>
      <c r="N1" s="21"/>
      <c r="O1" s="21"/>
      <c r="P1" s="21"/>
      <c r="Q1" s="21"/>
      <c r="R1" s="21"/>
      <c r="S1" s="21"/>
      <c r="T1" s="21"/>
      <c r="U1" s="21"/>
    </row>
    <row r="2" spans="1:21" x14ac:dyDescent="0.3">
      <c r="A2" s="21"/>
      <c r="B2" s="21"/>
      <c r="C2" s="21"/>
      <c r="D2" s="21"/>
      <c r="E2" s="21"/>
      <c r="F2" s="21"/>
      <c r="G2" s="21"/>
      <c r="H2" s="21"/>
      <c r="I2" s="21"/>
      <c r="J2" s="21"/>
      <c r="K2" s="21"/>
      <c r="L2" s="21"/>
      <c r="M2" s="21"/>
      <c r="N2" s="21"/>
      <c r="O2" s="21"/>
      <c r="P2" s="21"/>
      <c r="Q2" s="21"/>
      <c r="R2" s="21"/>
      <c r="S2" s="21"/>
      <c r="T2" s="21"/>
      <c r="U2" s="21"/>
    </row>
    <row r="3" spans="1:21" x14ac:dyDescent="0.3">
      <c r="A3" s="21"/>
      <c r="B3" s="21"/>
      <c r="C3" s="21"/>
      <c r="D3" s="21"/>
      <c r="E3" s="21"/>
      <c r="F3" s="21"/>
      <c r="G3" s="21"/>
      <c r="H3" s="21"/>
      <c r="I3" s="21"/>
      <c r="J3" s="21"/>
      <c r="K3" s="21"/>
      <c r="L3" s="21"/>
      <c r="M3" s="21"/>
      <c r="N3" s="21"/>
      <c r="O3" s="21"/>
      <c r="P3" s="21"/>
      <c r="Q3" s="21"/>
      <c r="R3" s="21"/>
      <c r="S3" s="21"/>
      <c r="T3" s="21"/>
      <c r="U3" s="21"/>
    </row>
    <row r="4" spans="1:21" ht="14.4" customHeight="1" x14ac:dyDescent="0.3">
      <c r="A4" s="23" t="s">
        <v>100</v>
      </c>
      <c r="B4" s="24"/>
      <c r="C4" s="24"/>
      <c r="D4" s="24"/>
      <c r="E4" s="24"/>
      <c r="F4" s="24"/>
      <c r="G4" s="24"/>
      <c r="H4" s="24"/>
      <c r="I4" s="24"/>
      <c r="J4" s="24"/>
      <c r="K4" s="24"/>
      <c r="L4" s="24"/>
      <c r="M4" s="24"/>
      <c r="N4" s="24"/>
      <c r="O4" s="24"/>
      <c r="P4" s="24"/>
      <c r="Q4" s="24"/>
      <c r="R4" s="24"/>
      <c r="S4" s="24"/>
      <c r="T4" s="24"/>
      <c r="U4" s="24"/>
    </row>
    <row r="5" spans="1:21" x14ac:dyDescent="0.3">
      <c r="A5" s="18"/>
      <c r="B5" s="18"/>
      <c r="C5" s="18"/>
      <c r="D5" s="18"/>
      <c r="E5" s="18"/>
      <c r="F5" s="18"/>
      <c r="G5" s="18"/>
      <c r="H5" s="18"/>
      <c r="I5" s="18"/>
      <c r="J5" s="18"/>
      <c r="K5" s="18"/>
      <c r="L5" s="18"/>
      <c r="M5" s="18"/>
      <c r="N5" s="18"/>
      <c r="O5" s="18"/>
      <c r="P5" s="18"/>
      <c r="Q5" s="18"/>
      <c r="R5" s="18"/>
      <c r="S5" s="18"/>
      <c r="T5" s="18"/>
      <c r="U5" s="18"/>
    </row>
    <row r="6" spans="1:21" x14ac:dyDescent="0.3">
      <c r="A6" s="18"/>
      <c r="B6" s="18"/>
      <c r="C6" s="18"/>
      <c r="D6" s="18"/>
      <c r="E6" s="18"/>
      <c r="F6" s="18"/>
      <c r="G6" s="18"/>
      <c r="H6" s="18"/>
      <c r="I6" s="18"/>
      <c r="J6" s="18"/>
      <c r="K6" s="18"/>
      <c r="L6" s="18"/>
      <c r="M6" s="18"/>
      <c r="N6" s="18"/>
      <c r="O6" s="18"/>
      <c r="P6" s="18"/>
      <c r="Q6" s="18"/>
      <c r="R6" s="18"/>
      <c r="S6" s="18"/>
      <c r="T6" s="18"/>
      <c r="U6" s="18"/>
    </row>
    <row r="7" spans="1:21" x14ac:dyDescent="0.3">
      <c r="A7" s="18"/>
      <c r="B7" s="18"/>
      <c r="C7" s="18"/>
      <c r="D7" s="18"/>
      <c r="E7" s="18"/>
      <c r="F7" s="18"/>
      <c r="G7" s="18"/>
      <c r="H7" s="18"/>
      <c r="I7" s="18"/>
      <c r="J7" s="18"/>
      <c r="K7" s="18"/>
      <c r="L7" s="18"/>
      <c r="M7" s="18"/>
      <c r="N7" s="18"/>
      <c r="O7" s="18"/>
      <c r="P7" s="18"/>
      <c r="Q7" s="18"/>
      <c r="R7" s="18"/>
      <c r="S7" s="18"/>
      <c r="T7" s="18"/>
      <c r="U7" s="18"/>
    </row>
    <row r="8" spans="1:21" x14ac:dyDescent="0.3">
      <c r="A8" s="18"/>
      <c r="B8" s="18"/>
      <c r="C8" s="18"/>
      <c r="D8" s="18"/>
      <c r="E8" s="18"/>
      <c r="F8" s="18"/>
      <c r="G8" s="18"/>
      <c r="H8" s="18"/>
      <c r="I8" s="18"/>
      <c r="J8" s="18"/>
      <c r="K8" s="18"/>
      <c r="L8" s="18"/>
      <c r="M8" s="18"/>
      <c r="N8" s="18"/>
      <c r="O8" s="18"/>
      <c r="P8" s="18"/>
      <c r="Q8" s="18"/>
      <c r="R8" s="18"/>
      <c r="S8" s="18"/>
      <c r="T8" s="18"/>
      <c r="U8" s="18"/>
    </row>
    <row r="9" spans="1:21" x14ac:dyDescent="0.3">
      <c r="A9" s="18"/>
      <c r="B9" s="18"/>
      <c r="C9" s="18"/>
      <c r="D9" s="18"/>
      <c r="E9" s="18"/>
      <c r="F9" s="18"/>
      <c r="G9" s="18"/>
      <c r="H9" s="18"/>
      <c r="I9" s="18"/>
      <c r="J9" s="18"/>
      <c r="K9" s="18"/>
      <c r="L9" s="18"/>
      <c r="M9" s="18"/>
      <c r="N9" s="18"/>
      <c r="O9" s="18"/>
      <c r="P9" s="18"/>
      <c r="Q9" s="18"/>
      <c r="R9" s="18"/>
      <c r="S9" s="18"/>
      <c r="T9" s="18"/>
      <c r="U9" s="18"/>
    </row>
    <row r="10" spans="1:21" x14ac:dyDescent="0.3">
      <c r="A10" s="18"/>
      <c r="B10" s="18"/>
      <c r="C10" s="18"/>
      <c r="D10" s="18"/>
      <c r="E10" s="18"/>
      <c r="F10" s="18"/>
      <c r="G10" s="18"/>
      <c r="H10" s="18"/>
      <c r="I10" s="18"/>
      <c r="J10" s="18"/>
      <c r="K10" s="18"/>
      <c r="L10" s="18"/>
      <c r="M10" s="18"/>
      <c r="N10" s="18"/>
      <c r="O10" s="18"/>
      <c r="P10" s="18"/>
      <c r="Q10" s="18"/>
      <c r="R10" s="18"/>
      <c r="S10" s="18"/>
      <c r="T10" s="18"/>
      <c r="U10" s="18"/>
    </row>
    <row r="11" spans="1:21" x14ac:dyDescent="0.3">
      <c r="A11" s="18"/>
      <c r="B11" s="18"/>
      <c r="C11" s="18"/>
      <c r="D11" s="18"/>
      <c r="E11" s="18"/>
      <c r="F11" s="18"/>
      <c r="G11" s="18"/>
      <c r="H11" s="18"/>
      <c r="I11" s="18"/>
      <c r="J11" s="18"/>
      <c r="K11" s="18"/>
      <c r="L11" s="18"/>
      <c r="M11" s="18"/>
      <c r="N11" s="18"/>
      <c r="O11" s="18"/>
      <c r="P11" s="18"/>
      <c r="Q11" s="18"/>
      <c r="R11" s="18"/>
      <c r="S11" s="18"/>
      <c r="T11" s="18"/>
      <c r="U11" s="18"/>
    </row>
    <row r="12" spans="1:21" x14ac:dyDescent="0.3">
      <c r="A12" s="18"/>
      <c r="B12" s="18"/>
      <c r="C12" s="18"/>
      <c r="D12" s="18"/>
      <c r="E12" s="18"/>
      <c r="F12" s="18"/>
      <c r="G12" s="18"/>
      <c r="H12" s="18"/>
      <c r="I12" s="18"/>
      <c r="J12" s="18"/>
      <c r="K12" s="18"/>
      <c r="L12" s="18"/>
      <c r="M12" s="18"/>
      <c r="N12" s="18"/>
      <c r="O12" s="18"/>
      <c r="P12" s="18"/>
      <c r="Q12" s="18"/>
      <c r="R12" s="18"/>
      <c r="S12" s="18"/>
      <c r="T12" s="18"/>
      <c r="U12" s="18"/>
    </row>
    <row r="13" spans="1:21" x14ac:dyDescent="0.3">
      <c r="A13" s="18"/>
      <c r="B13" s="18"/>
      <c r="C13" s="18"/>
      <c r="D13" s="18"/>
      <c r="E13" s="18"/>
      <c r="F13" s="18"/>
      <c r="G13" s="18"/>
      <c r="H13" s="18"/>
      <c r="I13" s="18"/>
      <c r="J13" s="18"/>
      <c r="K13" s="18"/>
      <c r="L13" s="18"/>
      <c r="M13" s="18"/>
      <c r="N13" s="18"/>
      <c r="O13" s="18"/>
      <c r="P13" s="18"/>
      <c r="Q13" s="18"/>
      <c r="R13" s="18"/>
      <c r="S13" s="18"/>
      <c r="T13" s="18"/>
      <c r="U13" s="18"/>
    </row>
    <row r="14" spans="1:21" x14ac:dyDescent="0.3">
      <c r="A14" s="18"/>
      <c r="B14" s="18"/>
      <c r="C14" s="18"/>
      <c r="D14" s="18"/>
      <c r="E14" s="18"/>
      <c r="F14" s="18"/>
      <c r="G14" s="18"/>
      <c r="H14" s="18"/>
      <c r="I14" s="18"/>
      <c r="J14" s="18"/>
      <c r="K14" s="18"/>
      <c r="L14" s="18"/>
      <c r="M14" s="18"/>
      <c r="N14" s="18"/>
      <c r="O14" s="18"/>
      <c r="P14" s="18"/>
      <c r="Q14" s="18"/>
      <c r="R14" s="18"/>
      <c r="S14" s="18"/>
      <c r="T14" s="18"/>
      <c r="U14" s="18"/>
    </row>
    <row r="15" spans="1:21" x14ac:dyDescent="0.3">
      <c r="A15" s="18"/>
      <c r="B15" s="18"/>
      <c r="C15" s="18"/>
      <c r="D15" s="18"/>
      <c r="E15" s="18"/>
      <c r="F15" s="18"/>
      <c r="G15" s="18"/>
      <c r="H15" s="18"/>
      <c r="I15" s="18"/>
      <c r="J15" s="18"/>
      <c r="K15" s="18"/>
      <c r="L15" s="18"/>
      <c r="M15" s="18"/>
      <c r="N15" s="18"/>
      <c r="O15" s="18"/>
      <c r="P15" s="18"/>
      <c r="Q15" s="18"/>
      <c r="R15" s="18"/>
      <c r="S15" s="18"/>
      <c r="T15" s="18"/>
      <c r="U15" s="18"/>
    </row>
    <row r="16" spans="1:21" x14ac:dyDescent="0.3">
      <c r="A16" s="18"/>
      <c r="B16" s="18"/>
      <c r="C16" s="18"/>
      <c r="D16" s="18"/>
      <c r="E16" s="18"/>
      <c r="F16" s="18"/>
      <c r="G16" s="18"/>
      <c r="H16" s="18"/>
      <c r="I16" s="18"/>
      <c r="J16" s="18"/>
      <c r="K16" s="18"/>
      <c r="L16" s="18"/>
      <c r="M16" s="18"/>
      <c r="N16" s="18"/>
      <c r="O16" s="18"/>
      <c r="P16" s="18"/>
      <c r="Q16" s="18"/>
      <c r="R16" s="18"/>
      <c r="S16" s="18"/>
      <c r="T16" s="18"/>
      <c r="U16" s="18"/>
    </row>
    <row r="17" spans="1:21" x14ac:dyDescent="0.3">
      <c r="A17" s="18"/>
      <c r="B17" s="18"/>
      <c r="C17" s="18"/>
      <c r="D17" s="18"/>
      <c r="E17" s="18"/>
      <c r="F17" s="18"/>
      <c r="G17" s="18"/>
      <c r="H17" s="18"/>
      <c r="I17" s="18"/>
      <c r="J17" s="18"/>
      <c r="K17" s="18"/>
      <c r="L17" s="18"/>
      <c r="M17" s="18"/>
      <c r="N17" s="18"/>
      <c r="O17" s="18"/>
      <c r="P17" s="18"/>
      <c r="Q17" s="18"/>
      <c r="R17" s="18"/>
      <c r="S17" s="18"/>
      <c r="T17" s="18"/>
      <c r="U17" s="18"/>
    </row>
    <row r="18" spans="1:21" x14ac:dyDescent="0.3">
      <c r="A18" s="18"/>
      <c r="B18" s="18"/>
      <c r="C18" s="18"/>
      <c r="D18" s="18"/>
      <c r="E18" s="18"/>
      <c r="F18" s="18"/>
      <c r="G18" s="18"/>
      <c r="H18" s="18"/>
      <c r="I18" s="18"/>
      <c r="J18" s="18"/>
      <c r="K18" s="18"/>
      <c r="L18" s="18"/>
      <c r="M18" s="18"/>
      <c r="N18" s="18"/>
      <c r="O18" s="18"/>
      <c r="P18" s="18"/>
      <c r="Q18" s="18"/>
      <c r="R18" s="18"/>
      <c r="S18" s="18"/>
      <c r="T18" s="18"/>
      <c r="U18" s="18"/>
    </row>
    <row r="19" spans="1:21" x14ac:dyDescent="0.3">
      <c r="A19" s="18"/>
      <c r="B19" s="18"/>
      <c r="C19" s="18"/>
      <c r="D19" s="18"/>
      <c r="E19" s="18"/>
      <c r="F19" s="18"/>
      <c r="G19" s="18"/>
      <c r="H19" s="18"/>
      <c r="I19" s="18"/>
      <c r="J19" s="18"/>
      <c r="K19" s="18"/>
      <c r="L19" s="18"/>
      <c r="M19" s="18"/>
      <c r="N19" s="18"/>
      <c r="O19" s="18"/>
      <c r="P19" s="18"/>
      <c r="Q19" s="18"/>
      <c r="R19" s="18"/>
      <c r="S19" s="18"/>
      <c r="T19" s="18"/>
      <c r="U19" s="18"/>
    </row>
    <row r="20" spans="1:21" x14ac:dyDescent="0.3">
      <c r="A20" s="18"/>
      <c r="B20" s="18"/>
      <c r="C20" s="18"/>
      <c r="D20" s="18"/>
      <c r="E20" s="18"/>
      <c r="F20" s="18"/>
      <c r="G20" s="18"/>
      <c r="H20" s="18"/>
      <c r="I20" s="18"/>
      <c r="J20" s="18"/>
      <c r="K20" s="18"/>
      <c r="L20" s="18"/>
      <c r="M20" s="18"/>
      <c r="N20" s="18"/>
      <c r="O20" s="18"/>
      <c r="P20" s="18"/>
      <c r="Q20" s="18"/>
      <c r="R20" s="18"/>
      <c r="S20" s="18"/>
      <c r="T20" s="18"/>
      <c r="U20" s="18"/>
    </row>
    <row r="21" spans="1:21" x14ac:dyDescent="0.3">
      <c r="A21" s="18"/>
      <c r="B21" s="18"/>
      <c r="C21" s="18"/>
      <c r="D21" s="18"/>
      <c r="E21" s="18"/>
      <c r="F21" s="18"/>
      <c r="G21" s="18"/>
      <c r="H21" s="18"/>
      <c r="I21" s="18"/>
      <c r="J21" s="18"/>
      <c r="K21" s="18"/>
      <c r="L21" s="18"/>
      <c r="M21" s="18"/>
      <c r="N21" s="18"/>
      <c r="O21" s="18"/>
      <c r="P21" s="18"/>
      <c r="Q21" s="18"/>
      <c r="R21" s="18"/>
      <c r="S21" s="18"/>
      <c r="T21" s="18"/>
      <c r="U21" s="18"/>
    </row>
    <row r="22" spans="1:21" x14ac:dyDescent="0.3">
      <c r="A22" s="18"/>
      <c r="B22" s="18"/>
      <c r="C22" s="18"/>
      <c r="D22" s="18"/>
      <c r="E22" s="18"/>
      <c r="F22" s="18"/>
      <c r="G22" s="18"/>
      <c r="H22" s="18"/>
      <c r="I22" s="18"/>
      <c r="J22" s="18"/>
      <c r="K22" s="18"/>
      <c r="L22" s="18"/>
      <c r="M22" s="18"/>
      <c r="N22" s="18"/>
      <c r="O22" s="18"/>
      <c r="P22" s="18"/>
      <c r="Q22" s="18"/>
      <c r="R22" s="18"/>
      <c r="S22" s="18"/>
      <c r="T22" s="18"/>
      <c r="U22" s="18"/>
    </row>
    <row r="23" spans="1:21" x14ac:dyDescent="0.3">
      <c r="A23" s="18"/>
      <c r="B23" s="18"/>
      <c r="C23" s="18"/>
      <c r="D23" s="18"/>
      <c r="E23" s="18"/>
      <c r="F23" s="18"/>
      <c r="G23" s="18"/>
      <c r="H23" s="18"/>
      <c r="I23" s="18"/>
      <c r="J23" s="18"/>
      <c r="K23" s="18"/>
      <c r="L23" s="18"/>
      <c r="M23" s="18"/>
      <c r="N23" s="18"/>
      <c r="O23" s="18"/>
      <c r="P23" s="18"/>
      <c r="Q23" s="18"/>
      <c r="R23" s="18"/>
      <c r="S23" s="18"/>
      <c r="T23" s="18"/>
      <c r="U23" s="18"/>
    </row>
    <row r="24" spans="1:21" x14ac:dyDescent="0.3">
      <c r="A24" s="18"/>
      <c r="B24" s="18"/>
      <c r="C24" s="18"/>
      <c r="D24" s="18"/>
      <c r="E24" s="18"/>
      <c r="F24" s="18"/>
      <c r="G24" s="18"/>
      <c r="H24" s="18"/>
      <c r="I24" s="18"/>
      <c r="J24" s="18"/>
      <c r="K24" s="18"/>
      <c r="L24" s="18"/>
      <c r="M24" s="18"/>
      <c r="N24" s="18"/>
      <c r="O24" s="18"/>
      <c r="P24" s="18"/>
      <c r="Q24" s="18"/>
      <c r="R24" s="18"/>
      <c r="S24" s="18"/>
      <c r="T24" s="18"/>
      <c r="U24" s="18"/>
    </row>
    <row r="25" spans="1:21" x14ac:dyDescent="0.3">
      <c r="A25" s="18"/>
      <c r="B25" s="18"/>
      <c r="C25" s="18"/>
      <c r="D25" s="18"/>
      <c r="E25" s="18"/>
      <c r="F25" s="18"/>
      <c r="G25" s="18"/>
      <c r="H25" s="18"/>
      <c r="I25" s="18"/>
      <c r="J25" s="18"/>
      <c r="K25" s="18"/>
      <c r="L25" s="18"/>
      <c r="M25" s="18"/>
      <c r="N25" s="18"/>
      <c r="O25" s="18"/>
      <c r="P25" s="18"/>
      <c r="Q25" s="18"/>
      <c r="R25" s="18"/>
      <c r="S25" s="18"/>
      <c r="T25" s="18"/>
      <c r="U25" s="18"/>
    </row>
    <row r="26" spans="1:21" x14ac:dyDescent="0.3">
      <c r="A26" s="18"/>
      <c r="B26" s="18"/>
      <c r="C26" s="18"/>
      <c r="D26" s="18"/>
      <c r="E26" s="18"/>
      <c r="F26" s="18"/>
      <c r="G26" s="18"/>
      <c r="H26" s="18"/>
      <c r="I26" s="18"/>
      <c r="J26" s="18"/>
      <c r="K26" s="18"/>
      <c r="L26" s="18"/>
      <c r="M26" s="18"/>
      <c r="N26" s="18"/>
      <c r="O26" s="18"/>
      <c r="P26" s="18"/>
      <c r="Q26" s="18"/>
      <c r="R26" s="18"/>
      <c r="S26" s="18"/>
      <c r="T26" s="18"/>
      <c r="U26" s="18"/>
    </row>
    <row r="27" spans="1:21" x14ac:dyDescent="0.3">
      <c r="A27" s="18"/>
      <c r="B27" s="18"/>
      <c r="C27" s="18"/>
      <c r="D27" s="18"/>
      <c r="E27" s="18"/>
      <c r="F27" s="18"/>
      <c r="G27" s="18"/>
      <c r="H27" s="18"/>
      <c r="I27" s="18"/>
      <c r="J27" s="18"/>
      <c r="K27" s="18"/>
      <c r="L27" s="18"/>
      <c r="M27" s="18"/>
      <c r="N27" s="18"/>
      <c r="O27" s="18"/>
      <c r="P27" s="18"/>
      <c r="Q27" s="18"/>
      <c r="R27" s="18"/>
      <c r="S27" s="18"/>
      <c r="T27" s="18"/>
      <c r="U27" s="18"/>
    </row>
    <row r="28" spans="1:21" x14ac:dyDescent="0.3">
      <c r="A28" s="18"/>
      <c r="B28" s="18"/>
      <c r="C28" s="18"/>
      <c r="D28" s="18"/>
      <c r="E28" s="18"/>
      <c r="F28" s="18"/>
      <c r="G28" s="18"/>
      <c r="H28" s="18"/>
      <c r="I28" s="18"/>
      <c r="J28" s="18"/>
      <c r="K28" s="18"/>
      <c r="L28" s="18"/>
      <c r="M28" s="18"/>
      <c r="N28" s="18"/>
      <c r="O28" s="18"/>
      <c r="P28" s="18"/>
      <c r="Q28" s="18"/>
      <c r="R28" s="18"/>
      <c r="S28" s="18"/>
      <c r="T28" s="18"/>
      <c r="U28" s="18"/>
    </row>
    <row r="29" spans="1:21" x14ac:dyDescent="0.3">
      <c r="A29" s="18"/>
      <c r="B29" s="18"/>
      <c r="C29" s="18"/>
      <c r="D29" s="18"/>
      <c r="E29" s="18"/>
      <c r="F29" s="18"/>
      <c r="G29" s="18"/>
      <c r="H29" s="18"/>
      <c r="I29" s="18"/>
      <c r="J29" s="18"/>
      <c r="K29" s="18"/>
      <c r="L29" s="18"/>
      <c r="M29" s="18"/>
      <c r="N29" s="18"/>
      <c r="O29" s="18"/>
      <c r="P29" s="18"/>
      <c r="Q29" s="18"/>
      <c r="R29" s="18"/>
      <c r="S29" s="18"/>
      <c r="T29" s="18"/>
      <c r="U29" s="18"/>
    </row>
    <row r="30" spans="1:21" x14ac:dyDescent="0.3">
      <c r="A30" s="18"/>
      <c r="B30" s="18"/>
      <c r="C30" s="18"/>
      <c r="D30" s="18"/>
      <c r="E30" s="18"/>
      <c r="F30" s="18"/>
      <c r="G30" s="18"/>
      <c r="H30" s="18"/>
      <c r="I30" s="18"/>
      <c r="J30" s="18"/>
      <c r="K30" s="18"/>
      <c r="L30" s="18"/>
      <c r="M30" s="18"/>
      <c r="N30" s="18"/>
      <c r="O30" s="18"/>
      <c r="P30" s="18"/>
      <c r="Q30" s="18"/>
      <c r="R30" s="18"/>
      <c r="S30" s="18"/>
      <c r="T30" s="18"/>
      <c r="U30" s="18"/>
    </row>
    <row r="31" spans="1:21" x14ac:dyDescent="0.3">
      <c r="A31" s="18"/>
      <c r="B31" s="18"/>
      <c r="C31" s="18"/>
      <c r="D31" s="18"/>
      <c r="E31" s="18"/>
      <c r="F31" s="18"/>
      <c r="G31" s="18"/>
      <c r="H31" s="18"/>
      <c r="I31" s="18"/>
      <c r="J31" s="18"/>
      <c r="K31" s="18"/>
      <c r="L31" s="18"/>
      <c r="M31" s="18"/>
      <c r="N31" s="18"/>
      <c r="O31" s="18"/>
      <c r="P31" s="18"/>
      <c r="Q31" s="18"/>
      <c r="R31" s="18"/>
      <c r="S31" s="18"/>
      <c r="T31" s="18"/>
      <c r="U31" s="18"/>
    </row>
    <row r="32" spans="1:21" x14ac:dyDescent="0.3">
      <c r="A32" s="18"/>
      <c r="B32" s="18"/>
      <c r="C32" s="18"/>
      <c r="D32" s="18"/>
      <c r="E32" s="18"/>
      <c r="F32" s="18"/>
      <c r="G32" s="18"/>
      <c r="H32" s="18"/>
      <c r="I32" s="18"/>
      <c r="J32" s="18"/>
      <c r="K32" s="18"/>
      <c r="L32" s="18"/>
      <c r="M32" s="18"/>
      <c r="N32" s="18"/>
      <c r="O32" s="18"/>
      <c r="P32" s="18"/>
      <c r="Q32" s="18"/>
      <c r="R32" s="18"/>
      <c r="S32" s="18"/>
      <c r="T32" s="18"/>
      <c r="U32" s="18"/>
    </row>
    <row r="33" spans="1:21" x14ac:dyDescent="0.3">
      <c r="A33" s="18"/>
      <c r="B33" s="18"/>
      <c r="C33" s="18"/>
      <c r="D33" s="18"/>
      <c r="E33" s="18"/>
      <c r="F33" s="18"/>
      <c r="G33" s="18"/>
      <c r="H33" s="18"/>
      <c r="I33" s="18"/>
      <c r="J33" s="18"/>
      <c r="K33" s="18"/>
      <c r="L33" s="18"/>
      <c r="M33" s="18"/>
      <c r="N33" s="18"/>
      <c r="O33" s="18"/>
      <c r="P33" s="18"/>
      <c r="Q33" s="18"/>
      <c r="R33" s="18"/>
      <c r="S33" s="18"/>
      <c r="T33" s="18"/>
      <c r="U33" s="18"/>
    </row>
    <row r="34" spans="1:21" x14ac:dyDescent="0.3">
      <c r="A34" s="18"/>
      <c r="B34" s="18"/>
      <c r="C34" s="18"/>
      <c r="D34" s="18"/>
      <c r="E34" s="18"/>
      <c r="F34" s="18"/>
      <c r="G34" s="18"/>
      <c r="H34" s="18"/>
      <c r="I34" s="18"/>
      <c r="J34" s="18"/>
      <c r="K34" s="18"/>
      <c r="L34" s="18"/>
      <c r="M34" s="18"/>
      <c r="N34" s="18"/>
      <c r="O34" s="18"/>
      <c r="P34" s="18"/>
      <c r="Q34" s="18"/>
      <c r="R34" s="18"/>
      <c r="S34" s="18"/>
      <c r="T34" s="18"/>
      <c r="U34" s="18"/>
    </row>
    <row r="35" spans="1:21" x14ac:dyDescent="0.3">
      <c r="A35" s="18"/>
      <c r="B35" s="18"/>
      <c r="C35" s="18"/>
      <c r="D35" s="18"/>
      <c r="E35" s="18"/>
      <c r="F35" s="18"/>
      <c r="G35" s="18"/>
      <c r="H35" s="18"/>
      <c r="I35" s="18"/>
      <c r="J35" s="18"/>
      <c r="K35" s="18"/>
      <c r="L35" s="18"/>
      <c r="M35" s="18"/>
      <c r="N35" s="18"/>
      <c r="O35" s="18"/>
      <c r="P35" s="18"/>
      <c r="Q35" s="18"/>
      <c r="R35" s="18"/>
      <c r="S35" s="18"/>
      <c r="T35" s="18"/>
      <c r="U35" s="18"/>
    </row>
    <row r="36" spans="1:21" x14ac:dyDescent="0.3">
      <c r="A36" s="18"/>
      <c r="B36" s="18"/>
      <c r="C36" s="18"/>
      <c r="D36" s="18"/>
      <c r="E36" s="18"/>
      <c r="F36" s="18"/>
      <c r="G36" s="18"/>
      <c r="H36" s="18"/>
      <c r="I36" s="18"/>
      <c r="J36" s="18"/>
      <c r="K36" s="18"/>
      <c r="L36" s="18"/>
      <c r="M36" s="18"/>
      <c r="N36" s="18"/>
      <c r="O36" s="18"/>
      <c r="P36" s="18"/>
      <c r="Q36" s="18"/>
      <c r="R36" s="18"/>
      <c r="S36" s="18"/>
      <c r="T36" s="18"/>
      <c r="U36" s="18"/>
    </row>
    <row r="37" spans="1:21" x14ac:dyDescent="0.3">
      <c r="A37" s="18"/>
      <c r="B37" s="18"/>
      <c r="C37" s="18"/>
      <c r="D37" s="18"/>
      <c r="E37" s="18"/>
      <c r="F37" s="18"/>
      <c r="G37" s="18"/>
      <c r="H37" s="18"/>
      <c r="I37" s="18"/>
      <c r="J37" s="18"/>
      <c r="K37" s="18"/>
      <c r="L37" s="18"/>
      <c r="M37" s="18"/>
      <c r="N37" s="18"/>
      <c r="O37" s="18"/>
      <c r="P37" s="18"/>
      <c r="Q37" s="18"/>
      <c r="R37" s="18"/>
      <c r="S37" s="18"/>
      <c r="T37" s="18"/>
      <c r="U37" s="18"/>
    </row>
    <row r="38" spans="1:21" x14ac:dyDescent="0.3">
      <c r="A38" s="18"/>
      <c r="B38" s="18"/>
      <c r="C38" s="18"/>
      <c r="D38" s="18"/>
      <c r="E38" s="18"/>
      <c r="F38" s="18"/>
      <c r="G38" s="18"/>
      <c r="H38" s="18"/>
      <c r="I38" s="18"/>
      <c r="J38" s="18"/>
      <c r="K38" s="18"/>
      <c r="L38" s="18"/>
      <c r="M38" s="18"/>
      <c r="N38" s="18"/>
      <c r="O38" s="18"/>
      <c r="P38" s="18"/>
      <c r="Q38" s="18"/>
      <c r="R38" s="18"/>
      <c r="S38" s="18"/>
      <c r="T38" s="18"/>
      <c r="U38" s="18"/>
    </row>
    <row r="39" spans="1:21" x14ac:dyDescent="0.3">
      <c r="A39" s="18"/>
      <c r="B39" s="18"/>
      <c r="C39" s="18"/>
      <c r="D39" s="18"/>
      <c r="E39" s="18"/>
      <c r="F39" s="18"/>
      <c r="G39" s="18"/>
      <c r="H39" s="18"/>
      <c r="I39" s="18"/>
      <c r="J39" s="18"/>
      <c r="K39" s="18"/>
      <c r="L39" s="18"/>
      <c r="M39" s="18"/>
      <c r="N39" s="18"/>
      <c r="O39" s="18"/>
      <c r="P39" s="18"/>
      <c r="Q39" s="18"/>
      <c r="R39" s="18"/>
      <c r="S39" s="18"/>
      <c r="T39" s="18"/>
      <c r="U39" s="18"/>
    </row>
    <row r="40" spans="1:21" x14ac:dyDescent="0.3">
      <c r="A40" s="18"/>
      <c r="B40" s="18"/>
      <c r="C40" s="18"/>
      <c r="D40" s="18"/>
      <c r="E40" s="18"/>
      <c r="F40" s="18"/>
      <c r="G40" s="18"/>
      <c r="H40" s="18"/>
      <c r="I40" s="18"/>
      <c r="J40" s="18"/>
      <c r="K40" s="18"/>
      <c r="L40" s="18"/>
      <c r="M40" s="18"/>
      <c r="N40" s="18"/>
      <c r="O40" s="18"/>
      <c r="P40" s="18"/>
      <c r="Q40" s="18"/>
      <c r="R40" s="18"/>
      <c r="S40" s="18"/>
      <c r="T40" s="18"/>
      <c r="U40" s="18"/>
    </row>
    <row r="41" spans="1:21" x14ac:dyDescent="0.3">
      <c r="A41" s="18"/>
      <c r="B41" s="18"/>
      <c r="C41" s="18"/>
      <c r="D41" s="18"/>
      <c r="E41" s="18"/>
      <c r="F41" s="18"/>
      <c r="G41" s="18"/>
      <c r="H41" s="18"/>
      <c r="I41" s="18"/>
      <c r="J41" s="18"/>
      <c r="K41" s="18"/>
      <c r="L41" s="18"/>
      <c r="M41" s="18"/>
      <c r="N41" s="18"/>
      <c r="O41" s="18"/>
      <c r="P41" s="18"/>
      <c r="Q41" s="18"/>
      <c r="R41" s="18"/>
      <c r="S41" s="18"/>
      <c r="T41" s="18"/>
      <c r="U41" s="18"/>
    </row>
    <row r="42" spans="1:21" x14ac:dyDescent="0.3">
      <c r="A42" s="18"/>
      <c r="B42" s="18"/>
      <c r="C42" s="18"/>
      <c r="D42" s="18"/>
      <c r="E42" s="18"/>
      <c r="F42" s="18"/>
      <c r="G42" s="18"/>
      <c r="H42" s="18"/>
      <c r="I42" s="18"/>
      <c r="J42" s="18"/>
      <c r="K42" s="18"/>
      <c r="L42" s="18"/>
      <c r="M42" s="18"/>
      <c r="N42" s="18"/>
      <c r="O42" s="18"/>
      <c r="P42" s="18"/>
      <c r="Q42" s="18"/>
      <c r="R42" s="18"/>
      <c r="S42" s="18"/>
      <c r="T42" s="18"/>
      <c r="U42" s="18"/>
    </row>
    <row r="43" spans="1:21" x14ac:dyDescent="0.3">
      <c r="A43" s="18"/>
      <c r="B43" s="18"/>
      <c r="C43" s="18"/>
      <c r="D43" s="18"/>
      <c r="E43" s="18"/>
      <c r="F43" s="18"/>
      <c r="G43" s="18"/>
      <c r="H43" s="18"/>
      <c r="I43" s="18"/>
      <c r="J43" s="18"/>
      <c r="K43" s="18"/>
      <c r="L43" s="18"/>
      <c r="M43" s="18"/>
      <c r="N43" s="18"/>
      <c r="O43" s="18"/>
      <c r="P43" s="18"/>
      <c r="Q43" s="18"/>
      <c r="R43" s="18"/>
      <c r="S43" s="18"/>
      <c r="T43" s="18"/>
      <c r="U43" s="18"/>
    </row>
    <row r="44" spans="1:21" x14ac:dyDescent="0.3">
      <c r="A44" s="18"/>
      <c r="B44" s="18"/>
      <c r="C44" s="18"/>
      <c r="D44" s="18"/>
      <c r="E44" s="18"/>
      <c r="F44" s="18"/>
      <c r="G44" s="18"/>
      <c r="H44" s="18"/>
      <c r="I44" s="18"/>
      <c r="J44" s="18"/>
      <c r="K44" s="18"/>
      <c r="L44" s="18"/>
      <c r="M44" s="18"/>
      <c r="N44" s="18"/>
      <c r="O44" s="18"/>
      <c r="P44" s="18"/>
      <c r="Q44" s="18"/>
      <c r="R44" s="18"/>
      <c r="S44" s="18"/>
      <c r="T44" s="18"/>
      <c r="U44" s="18"/>
    </row>
    <row r="45" spans="1:21" x14ac:dyDescent="0.3">
      <c r="A45" s="18"/>
      <c r="B45" s="18"/>
      <c r="C45" s="18"/>
      <c r="D45" s="18"/>
      <c r="E45" s="18"/>
      <c r="F45" s="18"/>
      <c r="G45" s="18"/>
      <c r="H45" s="18"/>
      <c r="I45" s="18"/>
      <c r="J45" s="18"/>
      <c r="K45" s="18"/>
      <c r="L45" s="18"/>
      <c r="M45" s="18"/>
      <c r="N45" s="18"/>
      <c r="O45" s="18"/>
      <c r="P45" s="18"/>
      <c r="Q45" s="18"/>
      <c r="R45" s="18"/>
      <c r="S45" s="18"/>
      <c r="T45" s="18"/>
      <c r="U45" s="18"/>
    </row>
    <row r="46" spans="1:21" x14ac:dyDescent="0.3">
      <c r="A46" s="18"/>
      <c r="B46" s="18"/>
      <c r="C46" s="18"/>
      <c r="D46" s="18"/>
      <c r="E46" s="18"/>
      <c r="F46" s="18"/>
      <c r="G46" s="18"/>
      <c r="H46" s="18"/>
      <c r="I46" s="18"/>
      <c r="J46" s="18"/>
      <c r="K46" s="18"/>
      <c r="L46" s="18"/>
      <c r="M46" s="18"/>
      <c r="N46" s="18"/>
      <c r="O46" s="18"/>
      <c r="P46" s="18"/>
      <c r="Q46" s="18"/>
      <c r="R46" s="18"/>
      <c r="S46" s="18"/>
      <c r="T46" s="18"/>
      <c r="U46" s="18"/>
    </row>
    <row r="47" spans="1:21" x14ac:dyDescent="0.3">
      <c r="A47" s="18"/>
      <c r="B47" s="18"/>
      <c r="C47" s="18"/>
      <c r="D47" s="18"/>
      <c r="E47" s="18"/>
      <c r="F47" s="18"/>
      <c r="G47" s="18"/>
      <c r="H47" s="18"/>
      <c r="I47" s="18"/>
      <c r="J47" s="18"/>
      <c r="K47" s="18"/>
      <c r="L47" s="18"/>
      <c r="M47" s="18"/>
      <c r="N47" s="18"/>
      <c r="O47" s="18"/>
      <c r="P47" s="18"/>
      <c r="Q47" s="18"/>
      <c r="R47" s="18"/>
      <c r="S47" s="18"/>
      <c r="T47" s="18"/>
      <c r="U47" s="18"/>
    </row>
    <row r="48" spans="1:21" x14ac:dyDescent="0.3">
      <c r="A48" s="18"/>
      <c r="B48" s="18"/>
      <c r="C48" s="18"/>
      <c r="D48" s="18"/>
      <c r="E48" s="18"/>
      <c r="F48" s="18"/>
      <c r="G48" s="18"/>
      <c r="H48" s="18"/>
      <c r="I48" s="18"/>
      <c r="J48" s="18"/>
      <c r="K48" s="18"/>
      <c r="L48" s="18"/>
      <c r="M48" s="18"/>
      <c r="N48" s="18"/>
      <c r="O48" s="18"/>
      <c r="P48" s="18"/>
      <c r="Q48" s="18"/>
      <c r="R48" s="18"/>
      <c r="S48" s="18"/>
      <c r="T48" s="18"/>
      <c r="U48" s="18"/>
    </row>
    <row r="49" spans="1:21" x14ac:dyDescent="0.3">
      <c r="A49" s="18"/>
      <c r="B49" s="18"/>
      <c r="C49" s="18"/>
      <c r="D49" s="18"/>
      <c r="E49" s="18"/>
      <c r="F49" s="18"/>
      <c r="G49" s="18"/>
      <c r="H49" s="18"/>
      <c r="I49" s="18"/>
      <c r="J49" s="18"/>
      <c r="K49" s="18"/>
      <c r="L49" s="18"/>
      <c r="M49" s="18"/>
      <c r="N49" s="18"/>
      <c r="O49" s="18"/>
      <c r="P49" s="18"/>
      <c r="Q49" s="18"/>
      <c r="R49" s="18"/>
      <c r="S49" s="18"/>
      <c r="T49" s="18"/>
      <c r="U49" s="18"/>
    </row>
    <row r="50" spans="1:21" x14ac:dyDescent="0.3">
      <c r="A50" s="18"/>
      <c r="B50" s="18"/>
      <c r="C50" s="18"/>
      <c r="D50" s="18"/>
      <c r="E50" s="18"/>
      <c r="F50" s="18"/>
      <c r="G50" s="18"/>
      <c r="H50" s="18"/>
      <c r="I50" s="18"/>
      <c r="J50" s="18"/>
      <c r="K50" s="18"/>
      <c r="L50" s="18"/>
      <c r="M50" s="18"/>
      <c r="N50" s="18"/>
      <c r="O50" s="18"/>
      <c r="P50" s="18"/>
      <c r="Q50" s="18"/>
      <c r="R50" s="18"/>
      <c r="S50" s="18"/>
      <c r="T50" s="18"/>
      <c r="U50" s="18"/>
    </row>
    <row r="51" spans="1:21" x14ac:dyDescent="0.3">
      <c r="A51" s="18"/>
      <c r="B51" s="18"/>
      <c r="C51" s="18"/>
      <c r="D51" s="18"/>
      <c r="E51" s="18"/>
      <c r="F51" s="18"/>
      <c r="G51" s="18"/>
      <c r="H51" s="18"/>
      <c r="I51" s="18"/>
      <c r="J51" s="18"/>
      <c r="K51" s="18"/>
      <c r="L51" s="18"/>
      <c r="M51" s="18"/>
      <c r="N51" s="18"/>
      <c r="O51" s="18"/>
      <c r="P51" s="18"/>
      <c r="Q51" s="18"/>
      <c r="R51" s="18"/>
      <c r="S51" s="18"/>
      <c r="T51" s="18"/>
      <c r="U51" s="18"/>
    </row>
    <row r="52" spans="1:21" x14ac:dyDescent="0.3">
      <c r="A52" s="18"/>
      <c r="B52" s="18"/>
      <c r="C52" s="18"/>
      <c r="D52" s="18"/>
      <c r="E52" s="18"/>
      <c r="F52" s="18"/>
      <c r="G52" s="18"/>
      <c r="H52" s="18"/>
      <c r="I52" s="18"/>
      <c r="J52" s="18"/>
      <c r="K52" s="18"/>
      <c r="L52" s="18"/>
      <c r="M52" s="18"/>
      <c r="N52" s="18"/>
      <c r="O52" s="18"/>
      <c r="P52" s="18"/>
      <c r="Q52" s="18"/>
      <c r="R52" s="18"/>
      <c r="S52" s="18"/>
      <c r="T52" s="18"/>
      <c r="U52" s="18"/>
    </row>
    <row r="53" spans="1:21" x14ac:dyDescent="0.3">
      <c r="A53" s="18"/>
      <c r="B53" s="18"/>
      <c r="C53" s="18"/>
      <c r="D53" s="18"/>
      <c r="E53" s="18"/>
      <c r="F53" s="18"/>
      <c r="G53" s="18"/>
      <c r="H53" s="18"/>
      <c r="I53" s="18"/>
      <c r="J53" s="18"/>
      <c r="K53" s="18"/>
      <c r="L53" s="18"/>
      <c r="M53" s="18"/>
      <c r="N53" s="18"/>
      <c r="O53" s="18"/>
      <c r="P53" s="18"/>
      <c r="Q53" s="18"/>
      <c r="R53" s="18"/>
      <c r="S53" s="18"/>
      <c r="T53" s="18"/>
      <c r="U53" s="18"/>
    </row>
    <row r="54" spans="1:21" x14ac:dyDescent="0.3">
      <c r="A54" s="18"/>
      <c r="B54" s="18"/>
      <c r="C54" s="18"/>
      <c r="D54" s="18"/>
      <c r="E54" s="18"/>
      <c r="F54" s="18"/>
      <c r="G54" s="18"/>
      <c r="H54" s="18"/>
      <c r="I54" s="18"/>
      <c r="J54" s="18"/>
      <c r="K54" s="18"/>
      <c r="L54" s="18"/>
      <c r="M54" s="18"/>
      <c r="N54" s="18"/>
      <c r="O54" s="18"/>
      <c r="P54" s="18"/>
      <c r="Q54" s="18"/>
      <c r="R54" s="18"/>
      <c r="S54" s="18"/>
      <c r="T54" s="18"/>
      <c r="U54" s="18"/>
    </row>
    <row r="55" spans="1:21" x14ac:dyDescent="0.3">
      <c r="A55" s="18"/>
      <c r="B55" s="18"/>
      <c r="C55" s="18"/>
      <c r="D55" s="18"/>
      <c r="E55" s="18"/>
      <c r="F55" s="18"/>
      <c r="G55" s="18"/>
      <c r="H55" s="18"/>
      <c r="I55" s="18"/>
      <c r="J55" s="18"/>
      <c r="K55" s="18"/>
      <c r="L55" s="18"/>
      <c r="M55" s="18"/>
      <c r="N55" s="18"/>
      <c r="O55" s="18"/>
      <c r="P55" s="18"/>
      <c r="Q55" s="18"/>
      <c r="R55" s="18"/>
      <c r="S55" s="18"/>
      <c r="T55" s="18"/>
      <c r="U55" s="18"/>
    </row>
    <row r="56" spans="1:21" x14ac:dyDescent="0.3">
      <c r="A56" s="18"/>
      <c r="B56" s="18"/>
      <c r="C56" s="18"/>
      <c r="D56" s="18"/>
      <c r="E56" s="18"/>
      <c r="F56" s="18"/>
      <c r="G56" s="18"/>
      <c r="H56" s="18"/>
      <c r="I56" s="18"/>
      <c r="J56" s="18"/>
      <c r="K56" s="18"/>
      <c r="L56" s="18"/>
      <c r="M56" s="18"/>
      <c r="N56" s="18"/>
      <c r="O56" s="18"/>
      <c r="P56" s="18"/>
      <c r="Q56" s="18"/>
      <c r="R56" s="18"/>
      <c r="S56" s="18"/>
      <c r="T56" s="18"/>
      <c r="U56" s="18"/>
    </row>
    <row r="57" spans="1:21" x14ac:dyDescent="0.3">
      <c r="A57" s="18"/>
      <c r="B57" s="18"/>
      <c r="C57" s="18"/>
      <c r="D57" s="18"/>
      <c r="E57" s="18"/>
      <c r="F57" s="18"/>
      <c r="G57" s="18"/>
      <c r="H57" s="18"/>
      <c r="I57" s="18"/>
      <c r="J57" s="18"/>
      <c r="K57" s="18"/>
      <c r="L57" s="18"/>
      <c r="M57" s="18"/>
      <c r="N57" s="18"/>
      <c r="O57" s="18"/>
      <c r="P57" s="18"/>
      <c r="Q57" s="18"/>
      <c r="R57" s="18"/>
      <c r="S57" s="18"/>
      <c r="T57" s="18"/>
      <c r="U57" s="18"/>
    </row>
    <row r="58" spans="1:21" x14ac:dyDescent="0.3">
      <c r="A58" s="18"/>
      <c r="B58" s="18"/>
      <c r="C58" s="18"/>
      <c r="D58" s="18"/>
      <c r="E58" s="18"/>
      <c r="F58" s="18"/>
      <c r="G58" s="18"/>
      <c r="H58" s="18"/>
      <c r="I58" s="18"/>
      <c r="J58" s="18"/>
      <c r="K58" s="18"/>
      <c r="L58" s="18"/>
      <c r="M58" s="18"/>
      <c r="N58" s="18"/>
      <c r="O58" s="18"/>
      <c r="P58" s="18"/>
      <c r="Q58" s="18"/>
      <c r="R58" s="18"/>
      <c r="S58" s="18"/>
      <c r="T58" s="18"/>
      <c r="U58" s="18"/>
    </row>
    <row r="59" spans="1:21" x14ac:dyDescent="0.3">
      <c r="A59" s="18"/>
      <c r="B59" s="18"/>
      <c r="C59" s="18"/>
      <c r="D59" s="18"/>
      <c r="E59" s="18"/>
      <c r="F59" s="18"/>
      <c r="G59" s="18"/>
      <c r="H59" s="18"/>
      <c r="I59" s="18"/>
      <c r="J59" s="18"/>
      <c r="K59" s="18"/>
      <c r="L59" s="18"/>
      <c r="M59" s="18"/>
      <c r="N59" s="18"/>
      <c r="O59" s="18"/>
      <c r="P59" s="18"/>
      <c r="Q59" s="18"/>
      <c r="R59" s="18"/>
      <c r="S59" s="18"/>
      <c r="T59" s="18"/>
      <c r="U59" s="18"/>
    </row>
    <row r="60" spans="1:21" x14ac:dyDescent="0.3">
      <c r="A60" s="18"/>
      <c r="B60" s="18"/>
      <c r="C60" s="18"/>
      <c r="D60" s="18"/>
      <c r="E60" s="18"/>
      <c r="F60" s="18"/>
      <c r="G60" s="18"/>
      <c r="H60" s="18"/>
      <c r="I60" s="18"/>
      <c r="J60" s="18"/>
      <c r="K60" s="18"/>
      <c r="L60" s="18"/>
      <c r="M60" s="18"/>
      <c r="N60" s="18"/>
      <c r="O60" s="18"/>
      <c r="P60" s="18"/>
      <c r="Q60" s="18"/>
      <c r="R60" s="18"/>
      <c r="S60" s="18"/>
      <c r="T60" s="18"/>
      <c r="U60" s="18"/>
    </row>
    <row r="61" spans="1:21" x14ac:dyDescent="0.3">
      <c r="A61" s="18"/>
      <c r="B61" s="18"/>
      <c r="C61" s="18"/>
      <c r="D61" s="18"/>
      <c r="E61" s="18"/>
      <c r="F61" s="18"/>
      <c r="G61" s="18"/>
      <c r="H61" s="18"/>
      <c r="I61" s="18"/>
      <c r="J61" s="18"/>
      <c r="K61" s="18"/>
      <c r="L61" s="18"/>
      <c r="M61" s="18"/>
      <c r="N61" s="18"/>
      <c r="O61" s="18"/>
      <c r="P61" s="18"/>
      <c r="Q61" s="18"/>
      <c r="R61" s="18"/>
      <c r="S61" s="18"/>
      <c r="T61" s="18"/>
      <c r="U61" s="18"/>
    </row>
    <row r="62" spans="1:21" x14ac:dyDescent="0.3">
      <c r="A62" s="18"/>
      <c r="B62" s="18"/>
      <c r="C62" s="18"/>
      <c r="D62" s="18"/>
      <c r="E62" s="18"/>
      <c r="F62" s="18"/>
      <c r="G62" s="18"/>
      <c r="H62" s="18"/>
      <c r="I62" s="18"/>
      <c r="J62" s="18"/>
      <c r="K62" s="18"/>
      <c r="L62" s="18"/>
      <c r="M62" s="18"/>
      <c r="N62" s="18"/>
      <c r="O62" s="18"/>
      <c r="P62" s="18"/>
      <c r="Q62" s="18"/>
      <c r="R62" s="18"/>
      <c r="S62" s="18"/>
      <c r="T62" s="18"/>
      <c r="U62" s="18"/>
    </row>
    <row r="63" spans="1:21" x14ac:dyDescent="0.3">
      <c r="A63" s="18"/>
      <c r="B63" s="18"/>
      <c r="C63" s="18"/>
      <c r="D63" s="18"/>
      <c r="E63" s="18"/>
      <c r="F63" s="18"/>
      <c r="G63" s="18"/>
      <c r="H63" s="18"/>
      <c r="I63" s="18"/>
      <c r="J63" s="18"/>
      <c r="K63" s="18"/>
      <c r="L63" s="18"/>
      <c r="M63" s="18"/>
      <c r="N63" s="18"/>
      <c r="O63" s="18"/>
      <c r="P63" s="18"/>
      <c r="Q63" s="18"/>
      <c r="R63" s="18"/>
      <c r="S63" s="18"/>
      <c r="T63" s="18"/>
      <c r="U63" s="18"/>
    </row>
    <row r="64" spans="1:21" x14ac:dyDescent="0.3">
      <c r="A64" s="18"/>
      <c r="B64" s="18"/>
      <c r="C64" s="18"/>
      <c r="D64" s="18"/>
      <c r="E64" s="18"/>
      <c r="F64" s="18"/>
      <c r="G64" s="18"/>
      <c r="H64" s="18"/>
      <c r="I64" s="18"/>
      <c r="J64" s="18"/>
      <c r="K64" s="18"/>
      <c r="L64" s="18"/>
      <c r="M64" s="18"/>
      <c r="N64" s="18"/>
      <c r="O64" s="18"/>
      <c r="P64" s="18"/>
      <c r="Q64" s="18"/>
      <c r="R64" s="18"/>
      <c r="S64" s="18"/>
      <c r="T64" s="18"/>
      <c r="U64" s="18"/>
    </row>
    <row r="65" spans="1:21" x14ac:dyDescent="0.3">
      <c r="A65" s="18"/>
      <c r="B65" s="18"/>
      <c r="C65" s="18"/>
      <c r="D65" s="18"/>
      <c r="E65" s="18"/>
      <c r="F65" s="18"/>
      <c r="G65" s="18"/>
      <c r="H65" s="18"/>
      <c r="I65" s="18"/>
      <c r="J65" s="18"/>
      <c r="K65" s="18"/>
      <c r="L65" s="18"/>
      <c r="M65" s="18"/>
      <c r="N65" s="18"/>
      <c r="O65" s="18"/>
      <c r="P65" s="18"/>
      <c r="Q65" s="18"/>
      <c r="R65" s="18"/>
      <c r="S65" s="18"/>
      <c r="T65" s="18"/>
      <c r="U65" s="18"/>
    </row>
    <row r="66" spans="1:21" x14ac:dyDescent="0.3">
      <c r="A66" s="18"/>
      <c r="B66" s="18"/>
      <c r="C66" s="18"/>
      <c r="D66" s="18"/>
      <c r="E66" s="18"/>
      <c r="F66" s="18"/>
      <c r="G66" s="18"/>
      <c r="H66" s="18"/>
      <c r="I66" s="18"/>
      <c r="J66" s="18"/>
      <c r="K66" s="18"/>
      <c r="L66" s="18"/>
      <c r="M66" s="18"/>
      <c r="N66" s="18"/>
      <c r="O66" s="18"/>
      <c r="P66" s="18"/>
      <c r="Q66" s="18"/>
      <c r="R66" s="18"/>
      <c r="S66" s="18"/>
      <c r="T66" s="18"/>
      <c r="U66" s="18"/>
    </row>
    <row r="67" spans="1:21" x14ac:dyDescent="0.3">
      <c r="A67" s="18"/>
      <c r="B67" s="18"/>
      <c r="C67" s="18"/>
      <c r="D67" s="18"/>
      <c r="E67" s="18"/>
      <c r="F67" s="18"/>
      <c r="G67" s="18"/>
      <c r="H67" s="18"/>
      <c r="I67" s="18"/>
      <c r="J67" s="18"/>
      <c r="K67" s="18"/>
      <c r="L67" s="18"/>
      <c r="M67" s="18"/>
      <c r="N67" s="18"/>
      <c r="O67" s="18"/>
      <c r="P67" s="18"/>
      <c r="Q67" s="18"/>
      <c r="R67" s="18"/>
      <c r="S67" s="18"/>
      <c r="T67" s="18"/>
      <c r="U67" s="18"/>
    </row>
    <row r="68" spans="1:21" x14ac:dyDescent="0.3">
      <c r="A68" s="18"/>
      <c r="B68" s="18"/>
      <c r="C68" s="18"/>
      <c r="D68" s="18"/>
      <c r="E68" s="18"/>
      <c r="F68" s="18"/>
      <c r="G68" s="18"/>
      <c r="H68" s="18"/>
      <c r="I68" s="18"/>
      <c r="J68" s="18"/>
      <c r="K68" s="18"/>
      <c r="L68" s="18"/>
      <c r="M68" s="18"/>
      <c r="N68" s="18"/>
      <c r="O68" s="18"/>
      <c r="P68" s="18"/>
      <c r="Q68" s="18"/>
      <c r="R68" s="18"/>
      <c r="S68" s="18"/>
      <c r="T68" s="18"/>
      <c r="U68" s="18"/>
    </row>
    <row r="69" spans="1:21" x14ac:dyDescent="0.3">
      <c r="A69" s="18"/>
      <c r="B69" s="18"/>
      <c r="C69" s="18"/>
      <c r="D69" s="18"/>
      <c r="E69" s="18"/>
      <c r="F69" s="18"/>
      <c r="G69" s="18"/>
      <c r="H69" s="18"/>
      <c r="I69" s="18"/>
      <c r="J69" s="18"/>
      <c r="K69" s="18"/>
      <c r="L69" s="18"/>
      <c r="M69" s="18"/>
      <c r="N69" s="18"/>
      <c r="O69" s="18"/>
      <c r="P69" s="18"/>
      <c r="Q69" s="18"/>
      <c r="R69" s="18"/>
      <c r="S69" s="18"/>
      <c r="T69" s="18"/>
      <c r="U69" s="18"/>
    </row>
    <row r="70" spans="1:21" x14ac:dyDescent="0.3">
      <c r="A70" s="18"/>
      <c r="B70" s="18"/>
      <c r="C70" s="18"/>
      <c r="D70" s="18"/>
      <c r="E70" s="18"/>
      <c r="F70" s="18"/>
      <c r="G70" s="18"/>
      <c r="H70" s="18"/>
      <c r="I70" s="18"/>
      <c r="J70" s="18"/>
      <c r="K70" s="18"/>
      <c r="L70" s="18"/>
      <c r="M70" s="18"/>
      <c r="N70" s="18"/>
      <c r="O70" s="18"/>
      <c r="P70" s="18"/>
      <c r="Q70" s="18"/>
      <c r="R70" s="18"/>
      <c r="S70" s="18"/>
      <c r="T70" s="18"/>
      <c r="U70" s="18"/>
    </row>
    <row r="71" spans="1:21" x14ac:dyDescent="0.3">
      <c r="A71" s="18"/>
      <c r="B71" s="18"/>
      <c r="C71" s="18"/>
      <c r="D71" s="18"/>
      <c r="E71" s="18"/>
      <c r="F71" s="18"/>
      <c r="G71" s="18"/>
      <c r="H71" s="18"/>
      <c r="I71" s="18"/>
      <c r="J71" s="18"/>
      <c r="K71" s="18"/>
      <c r="L71" s="18"/>
      <c r="M71" s="18"/>
      <c r="N71" s="18"/>
      <c r="O71" s="18"/>
      <c r="P71" s="18"/>
      <c r="Q71" s="18"/>
      <c r="R71" s="18"/>
      <c r="S71" s="18"/>
      <c r="T71" s="18"/>
      <c r="U71" s="18"/>
    </row>
    <row r="72" spans="1:21" x14ac:dyDescent="0.3">
      <c r="A72" s="18"/>
      <c r="B72" s="18"/>
      <c r="C72" s="18"/>
      <c r="D72" s="18"/>
      <c r="E72" s="18"/>
      <c r="F72" s="18"/>
      <c r="G72" s="18"/>
      <c r="H72" s="18"/>
      <c r="I72" s="18"/>
      <c r="J72" s="18"/>
      <c r="K72" s="18"/>
      <c r="L72" s="18"/>
      <c r="M72" s="18"/>
      <c r="N72" s="18"/>
      <c r="O72" s="18"/>
      <c r="P72" s="18"/>
      <c r="Q72" s="18"/>
      <c r="R72" s="18"/>
      <c r="S72" s="18"/>
      <c r="T72" s="18"/>
      <c r="U72" s="18"/>
    </row>
    <row r="73" spans="1:21" x14ac:dyDescent="0.3">
      <c r="A73" s="18"/>
      <c r="B73" s="18"/>
      <c r="C73" s="18"/>
      <c r="D73" s="18"/>
      <c r="E73" s="18"/>
      <c r="F73" s="18"/>
      <c r="G73" s="18"/>
      <c r="H73" s="18"/>
      <c r="I73" s="18"/>
      <c r="J73" s="18"/>
      <c r="K73" s="18"/>
      <c r="L73" s="18"/>
      <c r="M73" s="18"/>
      <c r="N73" s="18"/>
      <c r="O73" s="18"/>
      <c r="P73" s="18"/>
      <c r="Q73" s="18"/>
      <c r="R73" s="18"/>
      <c r="S73" s="18"/>
      <c r="T73" s="18"/>
      <c r="U73" s="18"/>
    </row>
    <row r="74" spans="1:21" x14ac:dyDescent="0.3">
      <c r="A74" s="18"/>
      <c r="B74" s="18"/>
      <c r="C74" s="18"/>
      <c r="D74" s="18"/>
      <c r="E74" s="18"/>
      <c r="F74" s="18"/>
      <c r="G74" s="18"/>
      <c r="H74" s="18"/>
      <c r="I74" s="18"/>
      <c r="J74" s="18"/>
      <c r="K74" s="18"/>
      <c r="L74" s="18"/>
      <c r="M74" s="18"/>
      <c r="N74" s="18"/>
      <c r="O74" s="18"/>
      <c r="P74" s="18"/>
      <c r="Q74" s="18"/>
      <c r="R74" s="18"/>
      <c r="S74" s="18"/>
      <c r="T74" s="18"/>
      <c r="U74" s="18"/>
    </row>
    <row r="75" spans="1:21" x14ac:dyDescent="0.3">
      <c r="A75" s="18"/>
      <c r="B75" s="18"/>
      <c r="C75" s="18"/>
      <c r="D75" s="18"/>
      <c r="E75" s="18"/>
      <c r="F75" s="18"/>
      <c r="G75" s="18"/>
      <c r="H75" s="18"/>
      <c r="I75" s="18"/>
      <c r="J75" s="18"/>
      <c r="K75" s="18"/>
      <c r="L75" s="18"/>
      <c r="M75" s="18"/>
      <c r="N75" s="18"/>
      <c r="O75" s="18"/>
      <c r="P75" s="18"/>
      <c r="Q75" s="18"/>
      <c r="R75" s="18"/>
      <c r="S75" s="18"/>
      <c r="T75" s="18"/>
      <c r="U75" s="18"/>
    </row>
    <row r="76" spans="1:21" x14ac:dyDescent="0.3">
      <c r="A76" s="18"/>
      <c r="B76" s="18"/>
      <c r="C76" s="18"/>
      <c r="D76" s="18"/>
      <c r="E76" s="18"/>
      <c r="F76" s="18"/>
      <c r="G76" s="18"/>
      <c r="H76" s="18"/>
      <c r="I76" s="18"/>
      <c r="J76" s="18"/>
      <c r="K76" s="18"/>
      <c r="L76" s="18"/>
      <c r="M76" s="18"/>
      <c r="N76" s="18"/>
      <c r="O76" s="18"/>
      <c r="P76" s="18"/>
      <c r="Q76" s="18"/>
      <c r="R76" s="18"/>
      <c r="S76" s="18"/>
      <c r="T76" s="18"/>
      <c r="U76" s="18"/>
    </row>
    <row r="77" spans="1:21" x14ac:dyDescent="0.3">
      <c r="A77" s="18"/>
      <c r="B77" s="18"/>
      <c r="C77" s="18"/>
      <c r="D77" s="18"/>
      <c r="E77" s="18"/>
      <c r="F77" s="18"/>
      <c r="G77" s="18"/>
      <c r="H77" s="18"/>
      <c r="I77" s="18"/>
      <c r="J77" s="18"/>
      <c r="K77" s="18"/>
      <c r="L77" s="18"/>
      <c r="M77" s="18"/>
      <c r="N77" s="18"/>
      <c r="O77" s="18"/>
      <c r="P77" s="18"/>
      <c r="Q77" s="18"/>
      <c r="R77" s="18"/>
      <c r="S77" s="18"/>
      <c r="T77" s="18"/>
      <c r="U77" s="18"/>
    </row>
    <row r="78" spans="1:21" x14ac:dyDescent="0.3">
      <c r="A78" s="18"/>
      <c r="B78" s="18"/>
      <c r="C78" s="18"/>
      <c r="D78" s="18"/>
      <c r="E78" s="18"/>
      <c r="F78" s="18"/>
      <c r="G78" s="18"/>
      <c r="H78" s="18"/>
      <c r="I78" s="18"/>
      <c r="J78" s="18"/>
      <c r="K78" s="18"/>
      <c r="L78" s="18"/>
      <c r="M78" s="18"/>
      <c r="N78" s="18"/>
      <c r="O78" s="18"/>
      <c r="P78" s="18"/>
      <c r="Q78" s="18"/>
      <c r="R78" s="18"/>
      <c r="S78" s="18"/>
      <c r="T78" s="18"/>
      <c r="U78" s="18"/>
    </row>
    <row r="79" spans="1:21" x14ac:dyDescent="0.3">
      <c r="A79" s="18"/>
      <c r="B79" s="18"/>
      <c r="C79" s="18"/>
      <c r="D79" s="18"/>
      <c r="E79" s="18"/>
      <c r="F79" s="18"/>
      <c r="G79" s="18"/>
      <c r="H79" s="18"/>
      <c r="I79" s="18"/>
      <c r="J79" s="18"/>
      <c r="K79" s="18"/>
      <c r="L79" s="18"/>
      <c r="M79" s="18"/>
      <c r="N79" s="18"/>
      <c r="O79" s="18"/>
      <c r="P79" s="18"/>
      <c r="Q79" s="18"/>
      <c r="R79" s="18"/>
      <c r="S79" s="18"/>
      <c r="T79" s="18"/>
      <c r="U79" s="18"/>
    </row>
    <row r="80" spans="1:21" x14ac:dyDescent="0.3">
      <c r="A80" s="18"/>
      <c r="B80" s="18"/>
      <c r="C80" s="18"/>
      <c r="D80" s="18"/>
      <c r="E80" s="18"/>
      <c r="F80" s="18"/>
      <c r="G80" s="18"/>
      <c r="H80" s="18"/>
      <c r="I80" s="18"/>
      <c r="J80" s="18"/>
      <c r="K80" s="18"/>
      <c r="L80" s="18"/>
      <c r="M80" s="18"/>
      <c r="N80" s="18"/>
      <c r="O80" s="18"/>
      <c r="P80" s="18"/>
      <c r="Q80" s="18"/>
      <c r="R80" s="18"/>
      <c r="S80" s="18"/>
      <c r="T80" s="18"/>
      <c r="U80" s="18"/>
    </row>
    <row r="81" spans="1:21" x14ac:dyDescent="0.3">
      <c r="A81" s="18"/>
      <c r="B81" s="18"/>
      <c r="C81" s="18"/>
      <c r="D81" s="18"/>
      <c r="E81" s="18"/>
      <c r="F81" s="18"/>
      <c r="G81" s="18"/>
      <c r="H81" s="18"/>
      <c r="I81" s="18"/>
      <c r="J81" s="18"/>
      <c r="K81" s="18"/>
      <c r="L81" s="18"/>
      <c r="M81" s="18"/>
      <c r="N81" s="18"/>
      <c r="O81" s="18"/>
      <c r="P81" s="18"/>
      <c r="Q81" s="18"/>
      <c r="R81" s="18"/>
      <c r="S81" s="18"/>
      <c r="T81" s="18"/>
      <c r="U81" s="18"/>
    </row>
    <row r="82" spans="1:21" x14ac:dyDescent="0.3">
      <c r="A82" s="18"/>
      <c r="B82" s="18"/>
      <c r="C82" s="18"/>
      <c r="D82" s="18"/>
      <c r="E82" s="18"/>
      <c r="F82" s="18"/>
      <c r="G82" s="18"/>
      <c r="H82" s="18"/>
      <c r="I82" s="18"/>
      <c r="J82" s="18"/>
      <c r="K82" s="18"/>
      <c r="L82" s="18"/>
      <c r="M82" s="18"/>
      <c r="N82" s="18"/>
      <c r="O82" s="18"/>
      <c r="P82" s="18"/>
      <c r="Q82" s="18"/>
      <c r="R82" s="18"/>
      <c r="S82" s="18"/>
      <c r="T82" s="18"/>
      <c r="U82" s="18"/>
    </row>
    <row r="83" spans="1:21" x14ac:dyDescent="0.3">
      <c r="A83" s="18"/>
      <c r="B83" s="18"/>
      <c r="C83" s="18"/>
      <c r="D83" s="18"/>
      <c r="E83" s="18"/>
      <c r="F83" s="18"/>
      <c r="G83" s="18"/>
      <c r="H83" s="18"/>
      <c r="I83" s="18"/>
      <c r="J83" s="18"/>
      <c r="K83" s="18"/>
      <c r="L83" s="18"/>
      <c r="M83" s="18"/>
      <c r="N83" s="18"/>
      <c r="O83" s="18"/>
      <c r="P83" s="18"/>
      <c r="Q83" s="18"/>
      <c r="R83" s="18"/>
      <c r="S83" s="18"/>
      <c r="T83" s="18"/>
      <c r="U83" s="18"/>
    </row>
    <row r="84" spans="1:21" x14ac:dyDescent="0.3">
      <c r="A84" s="18"/>
      <c r="B84" s="18"/>
      <c r="C84" s="18"/>
      <c r="D84" s="18"/>
      <c r="E84" s="18"/>
      <c r="F84" s="18"/>
      <c r="G84" s="18"/>
      <c r="H84" s="18"/>
      <c r="I84" s="18"/>
      <c r="J84" s="18"/>
      <c r="K84" s="18"/>
      <c r="L84" s="18"/>
      <c r="M84" s="18"/>
      <c r="N84" s="18"/>
      <c r="O84" s="18"/>
      <c r="P84" s="18"/>
      <c r="Q84" s="18"/>
      <c r="R84" s="18"/>
      <c r="S84" s="18"/>
      <c r="T84" s="18"/>
      <c r="U84" s="18"/>
    </row>
    <row r="85" spans="1:21" x14ac:dyDescent="0.3">
      <c r="A85" s="18"/>
      <c r="B85" s="18"/>
      <c r="C85" s="18"/>
      <c r="D85" s="18"/>
      <c r="E85" s="18"/>
      <c r="F85" s="18"/>
      <c r="G85" s="18"/>
      <c r="H85" s="18"/>
      <c r="I85" s="18"/>
      <c r="J85" s="18"/>
      <c r="K85" s="18"/>
      <c r="L85" s="18"/>
      <c r="M85" s="18"/>
      <c r="N85" s="18"/>
      <c r="O85" s="18"/>
      <c r="P85" s="18"/>
      <c r="Q85" s="18"/>
      <c r="R85" s="18"/>
      <c r="S85" s="18"/>
      <c r="T85" s="18"/>
      <c r="U85" s="18"/>
    </row>
    <row r="86" spans="1:21" x14ac:dyDescent="0.3">
      <c r="A86" s="18"/>
      <c r="B86" s="18"/>
      <c r="C86" s="18"/>
      <c r="D86" s="18"/>
      <c r="E86" s="18"/>
      <c r="F86" s="18"/>
      <c r="G86" s="18"/>
      <c r="H86" s="18"/>
      <c r="I86" s="18"/>
      <c r="J86" s="18"/>
      <c r="K86" s="18"/>
      <c r="L86" s="18"/>
      <c r="M86" s="18"/>
      <c r="N86" s="18"/>
      <c r="O86" s="18"/>
      <c r="P86" s="18"/>
      <c r="Q86" s="18"/>
      <c r="R86" s="18"/>
      <c r="S86" s="18"/>
      <c r="T86" s="18"/>
      <c r="U86" s="18"/>
    </row>
    <row r="87" spans="1:21" x14ac:dyDescent="0.3">
      <c r="A87" s="18"/>
      <c r="B87" s="18"/>
      <c r="C87" s="18"/>
      <c r="D87" s="18"/>
      <c r="E87" s="18"/>
      <c r="F87" s="18"/>
      <c r="G87" s="18"/>
      <c r="H87" s="18"/>
      <c r="I87" s="18"/>
      <c r="J87" s="18"/>
      <c r="K87" s="18"/>
      <c r="L87" s="18"/>
      <c r="M87" s="18"/>
      <c r="N87" s="18"/>
      <c r="O87" s="18"/>
      <c r="P87" s="18"/>
      <c r="Q87" s="18"/>
      <c r="R87" s="18"/>
      <c r="S87" s="18"/>
      <c r="T87" s="18"/>
      <c r="U87" s="18"/>
    </row>
    <row r="88" spans="1:21" x14ac:dyDescent="0.3">
      <c r="A88" s="18"/>
      <c r="B88" s="18"/>
      <c r="C88" s="18"/>
      <c r="D88" s="18"/>
      <c r="E88" s="18"/>
      <c r="F88" s="18"/>
      <c r="G88" s="18"/>
      <c r="H88" s="18"/>
      <c r="I88" s="18"/>
      <c r="J88" s="18"/>
      <c r="K88" s="18"/>
      <c r="L88" s="18"/>
      <c r="M88" s="18"/>
      <c r="N88" s="18"/>
      <c r="O88" s="18"/>
      <c r="P88" s="18"/>
      <c r="Q88" s="18"/>
      <c r="R88" s="18"/>
      <c r="S88" s="18"/>
      <c r="T88" s="18"/>
      <c r="U88" s="18"/>
    </row>
    <row r="89" spans="1:21" x14ac:dyDescent="0.3">
      <c r="A89" s="18"/>
      <c r="B89" s="18"/>
      <c r="C89" s="18"/>
      <c r="D89" s="18"/>
      <c r="E89" s="18"/>
      <c r="F89" s="18"/>
      <c r="G89" s="18"/>
      <c r="H89" s="18"/>
      <c r="I89" s="18"/>
      <c r="J89" s="18"/>
      <c r="K89" s="18"/>
      <c r="L89" s="18"/>
      <c r="M89" s="18"/>
      <c r="N89" s="18"/>
      <c r="O89" s="18"/>
      <c r="P89" s="18"/>
      <c r="Q89" s="18"/>
      <c r="R89" s="18"/>
      <c r="S89" s="18"/>
      <c r="T89" s="18"/>
      <c r="U89" s="18"/>
    </row>
    <row r="90" spans="1:21" x14ac:dyDescent="0.3">
      <c r="A90" s="18"/>
      <c r="B90" s="18"/>
      <c r="C90" s="18"/>
      <c r="D90" s="18"/>
      <c r="E90" s="18"/>
      <c r="F90" s="18"/>
      <c r="G90" s="18"/>
      <c r="H90" s="18"/>
      <c r="I90" s="18"/>
      <c r="J90" s="18"/>
      <c r="K90" s="18"/>
      <c r="L90" s="18"/>
      <c r="M90" s="18"/>
      <c r="N90" s="18"/>
      <c r="O90" s="18"/>
      <c r="P90" s="18"/>
      <c r="Q90" s="18"/>
      <c r="R90" s="18"/>
      <c r="S90" s="18"/>
      <c r="T90" s="18"/>
      <c r="U90" s="18"/>
    </row>
    <row r="91" spans="1:21" x14ac:dyDescent="0.3">
      <c r="A91" s="18"/>
      <c r="B91" s="18"/>
      <c r="C91" s="18"/>
      <c r="D91" s="18"/>
      <c r="E91" s="18"/>
      <c r="F91" s="18"/>
      <c r="G91" s="18"/>
      <c r="H91" s="18"/>
      <c r="I91" s="18"/>
      <c r="J91" s="18"/>
      <c r="K91" s="18"/>
      <c r="L91" s="18"/>
      <c r="M91" s="18"/>
      <c r="N91" s="18"/>
      <c r="O91" s="18"/>
      <c r="P91" s="18"/>
      <c r="Q91" s="18"/>
      <c r="R91" s="18"/>
      <c r="S91" s="18"/>
      <c r="T91" s="18"/>
      <c r="U91" s="18"/>
    </row>
    <row r="92" spans="1:21" x14ac:dyDescent="0.3">
      <c r="A92" s="18"/>
      <c r="B92" s="18"/>
      <c r="C92" s="18"/>
      <c r="D92" s="18"/>
      <c r="E92" s="18"/>
      <c r="F92" s="18"/>
      <c r="G92" s="18"/>
      <c r="H92" s="18"/>
      <c r="I92" s="18"/>
      <c r="J92" s="18"/>
      <c r="K92" s="18"/>
      <c r="L92" s="18"/>
      <c r="M92" s="18"/>
      <c r="N92" s="18"/>
      <c r="O92" s="18"/>
      <c r="P92" s="18"/>
      <c r="Q92" s="18"/>
      <c r="R92" s="18"/>
      <c r="S92" s="18"/>
      <c r="T92" s="18"/>
      <c r="U92" s="18"/>
    </row>
    <row r="93" spans="1:21" x14ac:dyDescent="0.3">
      <c r="A93" s="18"/>
      <c r="B93" s="18"/>
      <c r="C93" s="18"/>
      <c r="D93" s="18"/>
      <c r="E93" s="18"/>
      <c r="F93" s="18"/>
      <c r="G93" s="18"/>
      <c r="H93" s="18"/>
      <c r="I93" s="18"/>
      <c r="J93" s="18"/>
      <c r="K93" s="18"/>
      <c r="L93" s="18"/>
      <c r="M93" s="18"/>
      <c r="N93" s="18"/>
      <c r="O93" s="18"/>
      <c r="P93" s="18"/>
      <c r="Q93" s="18"/>
      <c r="R93" s="18"/>
      <c r="S93" s="18"/>
      <c r="T93" s="18"/>
      <c r="U93" s="18"/>
    </row>
    <row r="94" spans="1:21" x14ac:dyDescent="0.3">
      <c r="A94" s="26" t="s">
        <v>102</v>
      </c>
      <c r="B94" s="25"/>
      <c r="C94" s="25"/>
      <c r="D94" s="25"/>
      <c r="E94" s="25"/>
      <c r="F94" s="25"/>
      <c r="G94" s="25"/>
      <c r="H94" s="25"/>
      <c r="I94" s="25"/>
      <c r="J94" s="25"/>
      <c r="K94" s="25"/>
      <c r="L94" s="25"/>
      <c r="M94" s="25"/>
      <c r="N94" s="25"/>
      <c r="O94" s="25"/>
      <c r="P94" s="25"/>
      <c r="Q94" s="25"/>
      <c r="R94" s="25"/>
      <c r="S94" s="25"/>
      <c r="T94" s="25"/>
      <c r="U94" s="25"/>
    </row>
    <row r="95" spans="1:21" x14ac:dyDescent="0.3">
      <c r="A95" s="25"/>
      <c r="B95" s="25"/>
      <c r="C95" s="25"/>
      <c r="D95" s="25"/>
      <c r="E95" s="25"/>
      <c r="F95" s="25"/>
      <c r="G95" s="25"/>
      <c r="H95" s="25"/>
      <c r="I95" s="25"/>
      <c r="J95" s="25"/>
      <c r="K95" s="25"/>
      <c r="L95" s="25"/>
      <c r="M95" s="25"/>
      <c r="N95" s="25"/>
      <c r="O95" s="25"/>
      <c r="P95" s="25"/>
      <c r="Q95" s="25"/>
      <c r="R95" s="25"/>
      <c r="S95" s="25"/>
      <c r="T95" s="25"/>
      <c r="U95" s="25"/>
    </row>
  </sheetData>
  <mergeCells count="3">
    <mergeCell ref="A1:U3"/>
    <mergeCell ref="A4:U4"/>
    <mergeCell ref="A94:U95"/>
  </mergeCells>
  <pageMargins left="0.70866141732283472" right="0.70866141732283472" top="0.74803149606299213" bottom="0.74803149606299213" header="0.31496062992125984" footer="0.31496062992125984"/>
  <pageSetup scale="65"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data_understanding</vt:lpstr>
      <vt:lpstr>cleaned_data</vt:lpstr>
      <vt:lpstr>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Mangali Choudhary</cp:lastModifiedBy>
  <cp:lastPrinted>2026-06-17T13:14:29Z</cp:lastPrinted>
  <dcterms:created xsi:type="dcterms:W3CDTF">2026-06-16T11:35:00Z</dcterms:created>
  <dcterms:modified xsi:type="dcterms:W3CDTF">2026-06-17T13:14:32Z</dcterms:modified>
</cp:coreProperties>
</file>